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updateLinks="always"/>
  <xr:revisionPtr revIDLastSave="2" documentId="11_011511922D7E32BEDF6506D3062180835E1916CF" xr6:coauthVersionLast="47" xr6:coauthVersionMax="47" xr10:uidLastSave="{4C391CAE-61FE-4FC7-A2B8-7DD929434B85}"/>
  <bookViews>
    <workbookView xWindow="0" yWindow="0" windowWidth="0" windowHeight="0" firstSheet="7" activeTab="7" xr2:uid="{00000000-000D-0000-FFFF-FFFF00000000}"/>
  </bookViews>
  <sheets>
    <sheet name="Resumen Ejecutivo" sheetId="1" r:id="rId1"/>
    <sheet name="CAPEX" sheetId="2" r:id="rId2"/>
    <sheet name="OPEX" sheetId="3" r:id="rId3"/>
    <sheet name="Cloud" sheetId="4" r:id="rId4"/>
    <sheet name="Personal" sheetId="5" r:id="rId5"/>
    <sheet name="Riesgos" sheetId="6" r:id="rId6"/>
    <sheet name="Supuestos" sheetId="7" r:id="rId7"/>
    <sheet name="Graficos" sheetId="8" r:id="rId8"/>
  </sheets>
  <externalReferences>
    <externalReference r:id="rId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2" i="3"/>
  <c r="E3" i="2"/>
  <c r="E2" i="2"/>
  <c r="B3" i="1"/>
  <c r="B2" i="1"/>
  <c r="G2" i="3" l="1"/>
  <c r="F2" i="3"/>
  <c r="G3" i="3"/>
  <c r="F3" i="3"/>
  <c r="B4" i="1" l="1"/>
  <c r="B6" i="1" s="1"/>
  <c r="B5" i="1"/>
</calcChain>
</file>

<file path=xl/sharedStrings.xml><?xml version="1.0" encoding="utf-8"?>
<sst xmlns="http://schemas.openxmlformats.org/spreadsheetml/2006/main" count="60" uniqueCount="47">
  <si>
    <t>Indicador</t>
  </si>
  <si>
    <t>Valor</t>
  </si>
  <si>
    <t>Observaciones</t>
  </si>
  <si>
    <t>CAPEX Total</t>
  </si>
  <si>
    <t>OPEX Total Anual</t>
  </si>
  <si>
    <t>Costo total 3 años</t>
  </si>
  <si>
    <t>Costo total 5 años</t>
  </si>
  <si>
    <t>ROI (%)</t>
  </si>
  <si>
    <t>Suponiendo 15% de retorno</t>
  </si>
  <si>
    <t>Categoría</t>
  </si>
  <si>
    <t>Descripción</t>
  </si>
  <si>
    <t>Cantidad</t>
  </si>
  <si>
    <t>Costo unitario</t>
  </si>
  <si>
    <t>Costo total</t>
  </si>
  <si>
    <t>Responsable</t>
  </si>
  <si>
    <t>Hardware</t>
  </si>
  <si>
    <t>Servidores Rack</t>
  </si>
  <si>
    <t>Infra</t>
  </si>
  <si>
    <t>Software</t>
  </si>
  <si>
    <t>Licencias</t>
  </si>
  <si>
    <t>TI</t>
  </si>
  <si>
    <t>Periodicidad</t>
  </si>
  <si>
    <t>Costo anual</t>
  </si>
  <si>
    <t>Costo 3 años</t>
  </si>
  <si>
    <t>Costo 5 años</t>
  </si>
  <si>
    <t>Soporte</t>
  </si>
  <si>
    <t>Soporte anual</t>
  </si>
  <si>
    <t>Anual</t>
  </si>
  <si>
    <t>Nube</t>
  </si>
  <si>
    <t>AWS consumo</t>
  </si>
  <si>
    <t>Mensual</t>
  </si>
  <si>
    <t>Recurso Cloud</t>
  </si>
  <si>
    <t>SKU</t>
  </si>
  <si>
    <t>Unidad</t>
  </si>
  <si>
    <t>Consumo estimado</t>
  </si>
  <si>
    <t>Costo mensual</t>
  </si>
  <si>
    <t>Rol</t>
  </si>
  <si>
    <t>Costo mensual por persona</t>
  </si>
  <si>
    <t>Dedicación %</t>
  </si>
  <si>
    <t>Costo mensual asignado</t>
  </si>
  <si>
    <t>Riesgo</t>
  </si>
  <si>
    <t>Probabilidad</t>
  </si>
  <si>
    <t>Impacto</t>
  </si>
  <si>
    <t>Nivel</t>
  </si>
  <si>
    <t>Costo asociado</t>
  </si>
  <si>
    <t>Mitigación</t>
  </si>
  <si>
    <t>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</si>
</sst>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CAPEX vs OPEX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'Resumen Ejecutivo'!$A$2:$A$3</c:f>
              <c:strCache>
                <c:ptCount val="2"/>
                <c:pt idx="0">
                  <c:v>CAPEX Total</c:v>
                </c:pt>
                <c:pt idx="1">
                  <c:v>OPEX Total Anual</c:v>
                </c:pt>
              </c:strCache>
            </c:strRef>
          </c:cat>
          <c:val>
            <c:numRef>
              <c:f>'Resumen Ejecutivo'!$B$2:$B$3</c:f>
              <c:numCache>
                <c:formatCode>General</c:formatCode>
                <c:ptCount val="2"/>
                <c:pt idx="0">
                  <c:v>40000000</c:v>
                </c:pt>
                <c:pt idx="1">
                  <c:v>14600000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0-4B6B-ABDA-6D8E9C0BF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Costos Totales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'Resumen Ejecutivo'!$A$3:$A$4</c:f>
              <c:strCache>
                <c:ptCount val="2"/>
                <c:pt idx="0">
                  <c:v>OPEX Total Anual</c:v>
                </c:pt>
                <c:pt idx="1">
                  <c:v>Costo total 3 años</c:v>
                </c:pt>
              </c:strCache>
            </c:strRef>
          </c:cat>
          <c:val>
            <c:numRef>
              <c:f>'Resumen Ejecutivo'!$B$3:$B$4</c:f>
              <c:numCache>
                <c:formatCode>General</c:formatCode>
                <c:ptCount val="2"/>
                <c:pt idx="0">
                  <c:v>14600000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A-446C-8AA0-2721F5A8C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jecutiv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jecutivo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A4" sqref="A4"/>
    </sheetView>
  </sheetViews>
  <sheetFormatPr defaultRowHeight="15"/>
  <cols>
    <col min="1" max="1" width="21" customWidth="1"/>
    <col min="2" max="2" width="40" customWidth="1"/>
    <col min="3" max="3" width="2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f>SUM(CAPEX!E2:E3)</f>
        <v>40000000</v>
      </c>
    </row>
    <row r="3" spans="1:3">
      <c r="A3" t="s">
        <v>4</v>
      </c>
      <c r="B3">
        <f>SUM(OPEX!E2:E3)</f>
        <v>14600000</v>
      </c>
    </row>
    <row r="4" spans="1:3">
      <c r="A4" t="s">
        <v>5</v>
      </c>
      <c r="B4" t="e">
        <f ca="1">SUM(OPEX!F2:F3)+Resumen [1]Ejecutivo!B2</f>
        <v>#NAME?</v>
      </c>
    </row>
    <row r="5" spans="1:3">
      <c r="A5" t="s">
        <v>6</v>
      </c>
      <c r="B5" t="e">
        <f ca="1">SUM(OPEX!G2:G3)+Resumen [1]Ejecutivo!B2</f>
        <v>#NAME?</v>
      </c>
    </row>
    <row r="6" spans="1:3">
      <c r="A6" t="s">
        <v>7</v>
      </c>
      <c r="B6" t="e">
        <f ca="1">(B2*0.15)/B4</f>
        <v>#NAME?</v>
      </c>
      <c r="C6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defaultRowHeight="15"/>
  <cols>
    <col min="1" max="1" width="12" customWidth="1"/>
    <col min="2" max="2" width="18" customWidth="1"/>
    <col min="3" max="3" width="11" customWidth="1"/>
    <col min="4" max="4" width="17" customWidth="1"/>
    <col min="5" max="6" width="14" customWidth="1"/>
    <col min="7" max="7" width="16" customWidth="1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2</v>
      </c>
    </row>
    <row r="2" spans="1:7">
      <c r="A2" t="s">
        <v>15</v>
      </c>
      <c r="B2" t="s">
        <v>16</v>
      </c>
      <c r="C2">
        <v>2</v>
      </c>
      <c r="D2">
        <v>15000000</v>
      </c>
      <c r="E2">
        <f>C2*D2</f>
        <v>30000000</v>
      </c>
      <c r="F2" t="s">
        <v>17</v>
      </c>
    </row>
    <row r="3" spans="1:7">
      <c r="A3" t="s">
        <v>18</v>
      </c>
      <c r="B3" t="s">
        <v>19</v>
      </c>
      <c r="C3">
        <v>5</v>
      </c>
      <c r="D3">
        <v>2000000</v>
      </c>
      <c r="E3">
        <f>C3*D3</f>
        <v>10000000</v>
      </c>
      <c r="F3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/>
  </sheetViews>
  <sheetFormatPr defaultRowHeight="15"/>
  <cols>
    <col min="1" max="1" width="12" customWidth="1"/>
    <col min="2" max="2" width="16" customWidth="1"/>
    <col min="3" max="3" width="15" customWidth="1"/>
    <col min="4" max="4" width="17" customWidth="1"/>
    <col min="5" max="5" width="14" customWidth="1"/>
    <col min="6" max="7" width="15" customWidth="1"/>
    <col min="8" max="8" width="16" customWidth="1"/>
  </cols>
  <sheetData>
    <row r="1" spans="1:8">
      <c r="A1" s="1" t="s">
        <v>9</v>
      </c>
      <c r="B1" s="1" t="s">
        <v>10</v>
      </c>
      <c r="C1" s="1" t="s">
        <v>21</v>
      </c>
      <c r="D1" s="1" t="s">
        <v>12</v>
      </c>
      <c r="E1" s="1" t="s">
        <v>22</v>
      </c>
      <c r="F1" s="1" t="s">
        <v>23</v>
      </c>
      <c r="G1" s="1" t="s">
        <v>24</v>
      </c>
      <c r="H1" s="1" t="s">
        <v>2</v>
      </c>
    </row>
    <row r="2" spans="1:8">
      <c r="A2" t="s">
        <v>25</v>
      </c>
      <c r="B2" t="s">
        <v>26</v>
      </c>
      <c r="C2" t="s">
        <v>27</v>
      </c>
      <c r="D2">
        <v>5000000</v>
      </c>
      <c r="E2">
        <f>D2</f>
        <v>5000000</v>
      </c>
      <c r="F2">
        <f>E2*3</f>
        <v>15000000</v>
      </c>
      <c r="G2">
        <f>E2*5</f>
        <v>25000000</v>
      </c>
    </row>
    <row r="3" spans="1:8">
      <c r="A3" t="s">
        <v>28</v>
      </c>
      <c r="B3" t="s">
        <v>29</v>
      </c>
      <c r="C3" t="s">
        <v>30</v>
      </c>
      <c r="D3">
        <v>800000</v>
      </c>
      <c r="E3">
        <f>D3*12</f>
        <v>9600000</v>
      </c>
      <c r="F3">
        <f>E3*3</f>
        <v>28800000</v>
      </c>
      <c r="G3">
        <f>E3*5</f>
        <v>48000000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/>
  <cols>
    <col min="1" max="1" width="16" customWidth="1"/>
    <col min="2" max="2" width="6" customWidth="1"/>
    <col min="3" max="3" width="9" customWidth="1"/>
    <col min="4" max="4" width="19" customWidth="1"/>
    <col min="5" max="5" width="17" customWidth="1"/>
    <col min="6" max="6" width="16" customWidth="1"/>
    <col min="7" max="7" width="14" customWidth="1"/>
    <col min="8" max="8" width="15" customWidth="1"/>
  </cols>
  <sheetData>
    <row r="1" spans="1:8">
      <c r="A1" s="1" t="s">
        <v>31</v>
      </c>
      <c r="B1" s="1" t="s">
        <v>32</v>
      </c>
      <c r="C1" s="1" t="s">
        <v>33</v>
      </c>
      <c r="D1" s="1" t="s">
        <v>34</v>
      </c>
      <c r="E1" s="1" t="s">
        <v>12</v>
      </c>
      <c r="F1" s="1" t="s">
        <v>35</v>
      </c>
      <c r="G1" s="1" t="s">
        <v>22</v>
      </c>
      <c r="H1" s="1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/>
  </sheetViews>
  <sheetFormatPr defaultRowHeight="15"/>
  <cols>
    <col min="1" max="1" width="6" customWidth="1"/>
    <col min="2" max="2" width="11" customWidth="1"/>
    <col min="3" max="3" width="28" customWidth="1"/>
    <col min="4" max="4" width="15" customWidth="1"/>
    <col min="5" max="5" width="25" customWidth="1"/>
    <col min="6" max="6" width="14" customWidth="1"/>
    <col min="7" max="8" width="21" customWidth="1"/>
  </cols>
  <sheetData>
    <row r="1" spans="1:8">
      <c r="A1" s="1" t="s">
        <v>36</v>
      </c>
      <c r="B1" s="1" t="s">
        <v>11</v>
      </c>
      <c r="C1" s="1" t="s">
        <v>37</v>
      </c>
      <c r="D1" s="1" t="s">
        <v>38</v>
      </c>
      <c r="E1" s="1" t="s">
        <v>39</v>
      </c>
      <c r="F1" s="1" t="s">
        <v>22</v>
      </c>
      <c r="G1" s="1" t="s">
        <v>5</v>
      </c>
      <c r="H1" s="1" t="s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/>
  </sheetViews>
  <sheetFormatPr defaultRowHeight="15"/>
  <cols>
    <col min="1" max="1" width="9" customWidth="1"/>
    <col min="2" max="2" width="15" customWidth="1"/>
    <col min="3" max="3" width="10" customWidth="1"/>
    <col min="4" max="4" width="8" customWidth="1"/>
    <col min="5" max="5" width="17" customWidth="1"/>
    <col min="6" max="6" width="13" customWidth="1"/>
  </cols>
  <sheetData>
    <row r="1" spans="1:6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defaultRowHeight="15"/>
  <cols>
    <col min="1" max="1" width="11" customWidth="1"/>
    <col min="2" max="2" width="8" customWidth="1"/>
  </cols>
  <sheetData>
    <row r="1" spans="1:2">
      <c r="A1" s="1" t="s">
        <v>46</v>
      </c>
      <c r="B1" s="1" t="s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tabSelected="1" workbookViewId="0">
      <selection activeCell="G10" sqref="G10"/>
    </sheetView>
  </sheetViews>
  <sheetFormatPr defaultRowHeight="15"/>
  <sheetData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269400-cb4a-4048-b821-0bbb9ac38a24" xsi:nil="true"/>
    <lcf76f155ced4ddcb4097134ff3c332f xmlns="5082e666-2840-412a-9e86-dd4ad534ac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2E9ED5DB3B46408A2BA12DBE6C2EC1" ma:contentTypeVersion="11" ma:contentTypeDescription="Create a new document." ma:contentTypeScope="" ma:versionID="726847e21b2c8666d9e24dc8711d0be2">
  <xsd:schema xmlns:xsd="http://www.w3.org/2001/XMLSchema" xmlns:xs="http://www.w3.org/2001/XMLSchema" xmlns:p="http://schemas.microsoft.com/office/2006/metadata/properties" xmlns:ns2="5082e666-2840-412a-9e86-dd4ad534ac30" xmlns:ns3="04269400-cb4a-4048-b821-0bbb9ac38a24" targetNamespace="http://schemas.microsoft.com/office/2006/metadata/properties" ma:root="true" ma:fieldsID="bbdec2159fe897d372de69d793ce34e4" ns2:_="" ns3:_="">
    <xsd:import namespace="5082e666-2840-412a-9e86-dd4ad534ac30"/>
    <xsd:import namespace="04269400-cb4a-4048-b821-0bbb9ac38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2e666-2840-412a-9e86-dd4ad534ac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69400-cb4a-4048-b821-0bbb9ac38a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e303ba-1de5-4e0b-a2cd-1e2f383f3909}" ma:internalName="TaxCatchAll" ma:showField="CatchAllData" ma:web="04269400-cb4a-4048-b821-0bbb9ac38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CA3C22-09A6-430D-9B22-F0129BC894E8}"/>
</file>

<file path=customXml/itemProps2.xml><?xml version="1.0" encoding="utf-8"?>
<ds:datastoreItem xmlns:ds="http://schemas.openxmlformats.org/officeDocument/2006/customXml" ds:itemID="{0C808B17-0677-4296-8D57-5329BB9EFA67}"/>
</file>

<file path=customXml/itemProps3.xml><?xml version="1.0" encoding="utf-8"?>
<ds:datastoreItem xmlns:ds="http://schemas.openxmlformats.org/officeDocument/2006/customXml" ds:itemID="{1BABE5FB-AEEA-4015-9B48-39DC2167A9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Miguel Angel Molina Diaz</cp:lastModifiedBy>
  <cp:revision/>
  <dcterms:created xsi:type="dcterms:W3CDTF">2025-11-15T00:32:39Z</dcterms:created>
  <dcterms:modified xsi:type="dcterms:W3CDTF">2025-12-03T00:47:32Z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0x010100372E9ED5DB3B46408A2BA12DBE6C2EC1</vt:lpwstr>
  </property>
  <property fmtid="{D5CDD505-2E9C-101B-9397-08002B2CF9AE}" pid="3" name="MediaServiceImageTags">
    <vt:lpwstr/>
  </property>
  <property fmtid="{D5CDD505-2E9C-101B-9397-08002B2CF9AE}" pid="4" name="MSIP_Label_fc111285-cafa-4fc9-8a9a-bd902089b24f_Enabled">
    <vt:lpwstr>true</vt:lpwstr>
  </property>
  <property fmtid="{D5CDD505-2E9C-101B-9397-08002B2CF9AE}" pid="5" name="MSIP_Label_fc111285-cafa-4fc9-8a9a-bd902089b24f_SetDate">
    <vt:lpwstr>2025-12-02T23:44:59Z</vt:lpwstr>
  </property>
  <property fmtid="{D5CDD505-2E9C-101B-9397-08002B2CF9AE}" pid="6" name="MSIP_Label_fc111285-cafa-4fc9-8a9a-bd902089b24f_Method">
    <vt:lpwstr>Privileged</vt:lpwstr>
  </property>
  <property fmtid="{D5CDD505-2E9C-101B-9397-08002B2CF9AE}" pid="7" name="MSIP_Label_fc111285-cafa-4fc9-8a9a-bd902089b24f_Name">
    <vt:lpwstr>Public</vt:lpwstr>
  </property>
  <property fmtid="{D5CDD505-2E9C-101B-9397-08002B2CF9AE}" pid="8" name="MSIP_Label_fc111285-cafa-4fc9-8a9a-bd902089b24f_SiteId">
    <vt:lpwstr>cbc2c381-2f2e-4d93-91d1-506c9316ace7</vt:lpwstr>
  </property>
  <property fmtid="{D5CDD505-2E9C-101B-9397-08002B2CF9AE}" pid="9" name="MSIP_Label_fc111285-cafa-4fc9-8a9a-bd902089b24f_ActionId">
    <vt:lpwstr>c20b3092-2343-47b6-9cfe-6fac627545e5</vt:lpwstr>
  </property>
  <property fmtid="{D5CDD505-2E9C-101B-9397-08002B2CF9AE}" pid="10" name="MSIP_Label_fc111285-cafa-4fc9-8a9a-bd902089b24f_ContentBits">
    <vt:lpwstr>0</vt:lpwstr>
  </property>
  <property fmtid="{D5CDD505-2E9C-101B-9397-08002B2CF9AE}" pid="11" name="MSIP_Label_fc111285-cafa-4fc9-8a9a-bd902089b24f_Tag">
    <vt:lpwstr>10, 0, 1, 2</vt:lpwstr>
  </property>
</Properties>
</file>