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46122505\Downloads\"/>
    </mc:Choice>
  </mc:AlternateContent>
  <xr:revisionPtr revIDLastSave="0" documentId="8_{ABADECCC-B173-44C1-946A-6257B7CF89FD}" xr6:coauthVersionLast="47" xr6:coauthVersionMax="47" xr10:uidLastSave="{00000000-0000-0000-0000-000000000000}"/>
  <bookViews>
    <workbookView xWindow="-120" yWindow="-120" windowWidth="20730" windowHeight="11160" firstSheet="3" activeTab="3" xr2:uid="{028245D6-3318-4D60-8AEE-6D9CF20411C2}"/>
  </bookViews>
  <sheets>
    <sheet name="Funcional" sheetId="3" r:id="rId1"/>
    <sheet name="Técnico" sheetId="25" r:id="rId2"/>
    <sheet name="Arqui1" sheetId="29" state="hidden" r:id="rId3"/>
    <sheet name="Arquitectura" sheetId="28" r:id="rId4"/>
    <sheet name="Seguridad" sheetId="26" r:id="rId5"/>
    <sheet name="Riesgo" sheetId="27" r:id="rId6"/>
    <sheet name="Resumen" sheetId="19" r:id="rId7"/>
  </sheets>
  <definedNames>
    <definedName name="_xlnm._FilterDatabase" localSheetId="2" hidden="1">Arqui1!$A$10:$H$16</definedName>
    <definedName name="_xlnm._FilterDatabase" localSheetId="3" hidden="1">Arquitectura!$B$1:$D$9</definedName>
    <definedName name="_xlnm._FilterDatabase" localSheetId="0" hidden="1">Funcional!$A$10:$I$24</definedName>
    <definedName name="_xlnm._FilterDatabase" localSheetId="5" hidden="1">Riesgo!$A$8:$H$18</definedName>
    <definedName name="_xlnm._FilterDatabase" localSheetId="4" hidden="1">Seguridad!$A$25:$H$39</definedName>
    <definedName name="_xlnm._FilterDatabase" localSheetId="1" hidden="1">Técnico!$A$10:$H$41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0" i="28" l="1" a="1"/>
  <c r="H270" i="28"/>
  <c r="F12" i="3"/>
  <c r="G12" i="3"/>
  <c r="H12" i="3"/>
  <c r="I12" i="3"/>
  <c r="J12" i="3"/>
  <c r="K12" i="3"/>
  <c r="L12" i="3"/>
  <c r="M12" i="3"/>
  <c r="E12" i="3"/>
  <c r="F30" i="25"/>
  <c r="G30" i="25"/>
  <c r="H30" i="25"/>
  <c r="I30" i="25"/>
  <c r="J30" i="25"/>
  <c r="K30" i="25"/>
  <c r="L30" i="25"/>
  <c r="M30" i="25"/>
  <c r="E30" i="25"/>
  <c r="F22" i="26"/>
  <c r="G22" i="26"/>
  <c r="H22" i="26"/>
  <c r="I22" i="26"/>
  <c r="J22" i="26"/>
  <c r="K22" i="26"/>
  <c r="L22" i="26"/>
  <c r="M22" i="26"/>
  <c r="E22" i="26"/>
  <c r="F8" i="27"/>
  <c r="G8" i="27"/>
  <c r="H8" i="27"/>
  <c r="I8" i="27"/>
  <c r="J8" i="27"/>
  <c r="K8" i="27"/>
  <c r="L8" i="27"/>
  <c r="M8" i="27"/>
  <c r="E8" i="27"/>
  <c r="E31" i="25" a="1"/>
  <c r="E31" i="25"/>
  <c r="D5" i="19" s="1"/>
  <c r="M9" i="27" a="1"/>
  <c r="M9" i="27" s="1"/>
  <c r="L8" i="19" s="1"/>
  <c r="G9" i="27" a="1"/>
  <c r="G9" i="27" s="1"/>
  <c r="F8" i="19" s="1"/>
  <c r="F9" i="27" a="1"/>
  <c r="F9" i="27" s="1"/>
  <c r="E8" i="19" s="1"/>
  <c r="D9" i="27"/>
  <c r="E9" i="27" a="1"/>
  <c r="E9" i="27" s="1"/>
  <c r="D8" i="19" s="1"/>
  <c r="H9" i="27" a="1"/>
  <c r="H9" i="27" s="1"/>
  <c r="G8" i="19" s="1"/>
  <c r="I9" i="27" a="1"/>
  <c r="I9" i="27" s="1"/>
  <c r="H8" i="19" s="1"/>
  <c r="J9" i="27" a="1"/>
  <c r="J9" i="27" s="1"/>
  <c r="I8" i="19" s="1"/>
  <c r="K9" i="27" a="1"/>
  <c r="K9" i="27" s="1"/>
  <c r="J8" i="19" s="1"/>
  <c r="L9" i="27" a="1"/>
  <c r="L9" i="27" s="1"/>
  <c r="K8" i="19" s="1"/>
  <c r="D8" i="27"/>
  <c r="P269" i="28"/>
  <c r="F23" i="26" a="1"/>
  <c r="F23" i="26" s="1"/>
  <c r="E7" i="19" s="1"/>
  <c r="G23" i="26" a="1"/>
  <c r="G23" i="26"/>
  <c r="F7" i="19" s="1"/>
  <c r="I23" i="26" a="1"/>
  <c r="I23" i="26"/>
  <c r="H7" i="19" s="1"/>
  <c r="J23" i="26" a="1"/>
  <c r="J23" i="26"/>
  <c r="I7" i="19" s="1"/>
  <c r="K23" i="26" a="1"/>
  <c r="K23" i="26"/>
  <c r="J7" i="19" s="1"/>
  <c r="L23" i="26" a="1"/>
  <c r="L23" i="26"/>
  <c r="K7" i="19" s="1"/>
  <c r="M23" i="26" a="1"/>
  <c r="M23" i="26"/>
  <c r="L7" i="19" s="1"/>
  <c r="E23" i="26" a="1"/>
  <c r="E23" i="26"/>
  <c r="D7" i="19" s="1"/>
  <c r="D22" i="26"/>
  <c r="G31" i="25" a="1"/>
  <c r="G31" i="25" s="1"/>
  <c r="F5" i="19" s="1"/>
  <c r="H31" i="25" a="1"/>
  <c r="H31" i="25" s="1"/>
  <c r="G5" i="19" s="1"/>
  <c r="I31" i="25" a="1"/>
  <c r="I31" i="25" s="1"/>
  <c r="H5" i="19" s="1"/>
  <c r="J31" i="25" a="1"/>
  <c r="J31" i="25" s="1"/>
  <c r="I5" i="19" s="1"/>
  <c r="K31" i="25" a="1"/>
  <c r="K31" i="25" s="1"/>
  <c r="J5" i="19" s="1"/>
  <c r="L31" i="25" a="1"/>
  <c r="L31" i="25" s="1"/>
  <c r="K5" i="19" s="1"/>
  <c r="M31" i="25" a="1"/>
  <c r="M31" i="25" s="1"/>
  <c r="L5" i="19" s="1"/>
  <c r="D30" i="25"/>
  <c r="D31" i="25" s="1"/>
  <c r="H269" i="28"/>
  <c r="I269" i="28"/>
  <c r="I270" i="28" s="1" a="1"/>
  <c r="I270" i="28" s="1"/>
  <c r="J269" i="28"/>
  <c r="K269" i="28"/>
  <c r="K270" i="28" s="1" a="1"/>
  <c r="K270" i="28" s="1"/>
  <c r="L269" i="28"/>
  <c r="L270" i="28" s="1" a="1"/>
  <c r="L270" i="28" s="1"/>
  <c r="M269" i="28"/>
  <c r="M270" i="28" s="1" a="1"/>
  <c r="M270" i="28" s="1"/>
  <c r="N269" i="28"/>
  <c r="N270" i="28" s="1" a="1"/>
  <c r="N270" i="28" s="1"/>
  <c r="O269" i="28"/>
  <c r="O270" i="28" s="1" a="1"/>
  <c r="O270" i="28" s="1"/>
  <c r="P270" i="28" a="1"/>
  <c r="P270" i="28" s="1"/>
  <c r="G269" i="28"/>
  <c r="G270" i="28"/>
  <c r="M13" i="3" a="1"/>
  <c r="M13" i="3" s="1"/>
  <c r="L4" i="19" s="1"/>
  <c r="D23" i="26"/>
  <c r="E13" i="3" a="1"/>
  <c r="E13" i="3" s="1"/>
  <c r="D4" i="19" s="1"/>
  <c r="H23" i="26" a="1"/>
  <c r="H23" i="26" s="1"/>
  <c r="G7" i="19" s="1"/>
  <c r="E17" i="29"/>
  <c r="F17" i="29"/>
  <c r="F18" i="29" s="1" a="1"/>
  <c r="F18" i="29" s="1"/>
  <c r="G17" i="29"/>
  <c r="G18" i="29" s="1" a="1"/>
  <c r="G18" i="29" s="1"/>
  <c r="H17" i="29"/>
  <c r="H18" i="29" s="1" a="1"/>
  <c r="H18" i="29" s="1"/>
  <c r="I17" i="29"/>
  <c r="I18" i="29" s="1" a="1"/>
  <c r="I18" i="29" s="1"/>
  <c r="J17" i="29"/>
  <c r="J18" i="29" s="1" a="1"/>
  <c r="J18" i="29" s="1"/>
  <c r="K17" i="29"/>
  <c r="K18" i="29" s="1" a="1"/>
  <c r="K18" i="29" s="1"/>
  <c r="L17" i="29"/>
  <c r="L18" i="29" s="1" a="1"/>
  <c r="L18" i="29" s="1"/>
  <c r="E18" i="29" a="1"/>
  <c r="E18" i="29" s="1"/>
  <c r="D18" i="29"/>
  <c r="D17" i="29"/>
  <c r="D12" i="3"/>
  <c r="D13" i="3" s="1"/>
  <c r="J270" i="28" l="1" a="1"/>
  <c r="J270" i="28" s="1"/>
  <c r="D6" i="19" s="1" a="1"/>
  <c r="D6" i="19" s="1"/>
  <c r="F31" i="25" a="1"/>
  <c r="F31" i="25" s="1"/>
  <c r="E5" i="19" s="1"/>
  <c r="L13" i="3" a="1"/>
  <c r="L13" i="3" s="1"/>
  <c r="K4" i="19" s="1"/>
  <c r="F13" i="3" a="1"/>
  <c r="F13" i="3" s="1"/>
  <c r="E4" i="19" s="1"/>
  <c r="G13" i="3" a="1"/>
  <c r="G13" i="3" s="1"/>
  <c r="F4" i="19" s="1"/>
  <c r="J13" i="3" a="1"/>
  <c r="J13" i="3" s="1"/>
  <c r="I4" i="19" s="1"/>
  <c r="H13" i="3" a="1"/>
  <c r="H13" i="3" s="1"/>
  <c r="G4" i="19" s="1"/>
  <c r="K13" i="3" a="1"/>
  <c r="K13" i="3" s="1"/>
  <c r="J4" i="19" s="1"/>
  <c r="I13" i="3" a="1"/>
  <c r="I13" i="3" s="1"/>
  <c r="H4" i="19" s="1"/>
  <c r="D9" i="19" l="1"/>
  <c r="E9" i="19" l="1"/>
  <c r="L9" i="19"/>
  <c r="G9" i="19"/>
  <c r="J9" i="19"/>
  <c r="K9" i="19"/>
  <c r="H9" i="19"/>
  <c r="I9" i="19"/>
  <c r="F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tc={9BB29C33-632B-454E-9E8F-0A239B199A00}</author>
    <author>tc={FAC72C1B-F6B9-4E6E-9813-227B3008CD1A}</author>
    <author>tc={C072308C-381C-4121-BACC-3931A7DA51D3}</author>
    <author>tc={FA7A2FB7-C2DE-428A-B02A-03E404EA537A}</author>
    <author>tc={0741DCCC-157C-47A3-94DF-11A63922CD1A}</author>
    <author>tc={CB4E605C-E223-4D11-8BBA-AB2A01F1A7A0}</author>
    <author>tc={83C506F6-53B5-4063-A78D-B519BF87F8C4}</author>
    <author>tc={E9C1F477-6CCD-4D3A-AEA6-F6BD3E0DEA5E}</author>
    <author>tc={49CBF907-7019-42DF-B558-DF17F6FCF926}</author>
    <author>tc={532A5F85-9165-4884-B30F-4C9CF96E220A}</author>
    <author>tc={DE7CC034-B56A-4690-B905-E8871CCEDA42}</author>
    <author>tc={3575B4FC-242E-444A-8631-B088733773B8}</author>
    <author>tc={00157F38-FCB2-44DE-9158-40D8896D3EED}</author>
    <author>tc={A1B60F63-F076-411B-981E-751BD156983A}</author>
    <author>tc={C96E7912-13E4-4B36-84CC-AD8C872128F7}</author>
    <author>tc={4171105F-9938-4F80-9C54-973B1F2A31BD}</author>
    <author>tc={3A63603B-4272-4609-B9FB-600C9FD36A52}</author>
    <author>tc={66365E4B-FE11-4B26-AA55-BD7E73468196}</author>
    <author>tc={F99E0C92-F962-416C-AD5C-0478EC91B99A}</author>
    <author>tc={4AF50980-CB85-4A4F-BFDE-53EB75518983}</author>
    <author>tc={AABAE86F-1C09-433E-9930-E5CF5771953F}</author>
    <author>tc={6CB92190-66DD-40FC-9832-6E76D9538A95}</author>
    <author>tc={CC31B01A-10D2-4109-9F2E-5924A9490266}</author>
    <author>tc={D806817C-E7AD-4D89-8509-75074341FADC}</author>
    <author>tc={20171188-C8D2-4ABB-AAB9-8A4A43CE518C}</author>
    <author>tc={025FB640-0EB7-4B79-98E5-9E0213337405}</author>
    <author>tc={1B7793C1-B61C-49FD-8B8F-8F427E5E6639}</author>
    <author>tc={039F8D05-4ED7-4D29-B914-CE4D22D0FC5A}</author>
    <author>tc={3CA0EF17-06D9-4425-961F-4776C731653F}</author>
    <author>tc={8F12F868-8599-4EA8-91B3-AD9A0FBDE678}</author>
    <author>tc={3063BDE8-ACC8-4765-BB0D-EC8F552E0F1A}</author>
    <author>tc={5B5A8CC6-64C2-430B-875C-B154C0169C59}</author>
    <author>tc={787D53BE-553A-4F1F-A356-E5F7082662CD}</author>
    <author>tc={0C01262A-18F2-49FD-ABD2-9111BFF31B6B}</author>
    <author>tc={DBF59A18-6B2C-4DEB-A82C-013070C7553D}</author>
    <author>tc={46DBE527-ED09-425B-BECF-497FCB5A9D09}</author>
    <author>tc={ED51FA65-B610-4DE1-90A6-A71192931B5E}</author>
    <author>tc={6A7F2907-BF1B-482F-9D3D-85CF6A612B4C}</author>
    <author>tc={6C08BBCF-64C3-443A-8341-665464427BE4}</author>
    <author>tc={1BA7F1E0-6A95-43CB-86E2-A1B1990CD1AF}</author>
    <author>tc={0D00916E-200E-4869-9A93-6DDF1D84B64E}</author>
    <author>tc={0AB0432E-DBFF-4759-BEAE-F691CCFD114D}</author>
    <author>tc={7D5C9EAC-EBA1-414B-AFA6-6470828ED08E}</author>
    <author>tc={EFA2AAC8-0E2C-4D5A-95FF-123FC98E014F}</author>
    <author>tc={CF4A8AE6-971C-4BE5-B71A-05B3C799563B}</author>
    <author>tc={489375CF-BF41-4A9C-A42F-2295E97044A6}</author>
    <author>tc={0F8FA171-73F3-408A-95FA-9D44E9A488E6}</author>
    <author>tc={29D7CA48-B853-4209-B19A-B32C456B4517}</author>
    <author>tc={176F519B-9183-4D58-A82B-ADA04F1C8117}</author>
    <author>tc={1B3B4863-99DA-4613-96DF-7604E63CD42B}</author>
    <author>tc={8C94A634-0AD4-4B42-97B5-968B8FF1B883}</author>
    <author>tc={75F6E503-C351-4349-8FD3-F3F30715F87C}</author>
    <author>tc={867DFF7F-164C-4A83-87AC-1B76EE7FF07A}</author>
    <author>tc={18CC7839-E6D3-46CC-89B5-8944559F236F}</author>
    <author>tc={7755DA60-0E64-4880-AF30-7929E14DA1FD}</author>
    <author>tc={26E7E99A-3FDF-4DC0-B5AD-2DF16664264A}</author>
    <author>tc={D721043D-21BE-4651-907D-B61A42F26111}</author>
    <author>tc={45483E24-02B8-4088-835B-22332D53AC6A}</author>
    <author>tc={F8CDBA08-7875-4B2C-BBB7-1AD682677349}</author>
    <author>tc={A2CD6959-95E3-474B-B590-5B8D92F0317D}</author>
    <author>tc={ADE395CA-D68F-4F10-9E09-4CAB33122246}</author>
    <author>tc={2449112F-D3A1-4C4B-8542-98FF6B95DEB9}</author>
    <author>tc={E2298661-82D4-4074-93B9-136B094FE313}</author>
    <author>tc={123D5271-9C56-4B13-9BFC-6CFDE57EFE73}</author>
    <author>tc={3A8A5F15-87EB-456B-9BF0-C002207CBB72}</author>
    <author>tc={D272246C-9306-44B4-B4E2-4803EE3819F1}</author>
    <author>tc={FC3447DE-BC05-42E0-BE7C-51CF96599022}</author>
    <author>tc={A84F92D8-BE40-4857-916F-91B54FE6368E}</author>
    <author>tc={C16F1D8B-8770-479F-8ACD-FDE1270B50C2}</author>
    <author>tc={3C52ED09-93ED-49D8-8ECB-2C1EB507674E}</author>
    <author>tc={F73C134F-75DE-4FCD-B21A-DE439225C514}</author>
    <author>tc={F3F3B177-1099-4DB2-95B6-B922A01FB912}</author>
    <author>tc={6988CBED-DE06-4F37-AD7D-6885B8C24B02}</author>
    <author>tc={0987DB22-D0DB-4CBE-93F9-CF4657B021EF}</author>
    <author>tc={6F40C3EC-86E9-46E4-9F16-36CDE0F355F1}</author>
    <author>tc={7188A72E-AAA9-4754-8DF3-B747E4035162}</author>
    <author>tc={1ABC3DEB-70D6-458C-9F78-FA578F6AAB61}</author>
    <author>tc={F60389DF-DFAA-497F-A0A8-F2601B3C13C5}</author>
    <author>tc={1446B739-EA93-4154-8448-E105B2C8D10E}</author>
    <author>tc={D8BC249C-A599-4A89-9EA3-A3BF754EA57C}</author>
    <author>tc={C91845E8-7B34-45AA-8ED1-D994467F1A20}</author>
    <author>tc={597BB507-C221-479E-A0E7-A1FE4A360F42}</author>
    <author>tc={7C3054F3-B2FC-46AE-98FC-EAEFE6EE3235}</author>
    <author>tc={35AE2BE1-3807-4432-8684-DFF2D4C83271}</author>
    <author>tc={EA15E2B8-38AC-4057-AFF4-369224A46DB1}</author>
    <author>tc={7168A481-D669-4971-92F6-B83C4EC05167}</author>
    <author>tc={1D126E4E-E3DE-4645-AD3C-ED6916770D52}</author>
    <author>tc={1B0F2FF8-2406-4E81-BBE5-B83804CBCCAA}</author>
    <author>tc={06EC1BB5-E901-4E97-8BC5-44F711609543}</author>
    <author>tc={D809C008-69A4-446F-9F4F-C50BDF05B719}</author>
    <author>tc={6EF0FC35-8E0D-4236-B0F0-66BC10231F3C}</author>
    <author>tc={4C199465-37A4-42F1-9736-7576270DA169}</author>
    <author>tc={576D3D3A-F8A4-46C6-9BCE-FE2556034550}</author>
    <author>tc={2F79D2C4-8848-4BF9-BE8E-D4ACE9C2AAB4}</author>
    <author>tc={45204E94-9C9B-40F5-8FC1-B24AA52B78CA}</author>
    <author>tc={606096E5-7036-430E-A890-668F41015F0A}</author>
    <author>tc={C1EDA4AE-FEA0-42CF-8EB2-49B6681242D3}</author>
    <author>tc={596FC6AB-B510-49D3-B254-71CC638FED30}</author>
    <author>tc={FCA20A1E-FA47-441C-872B-BD18608796E0}</author>
    <author>tc={D13DA1DA-93E3-4CAE-9379-AF00343193FF}</author>
    <author>tc={F0BB07C7-56EE-44EE-8F62-9F9052E5B334}</author>
    <author>tc={CF64692F-9B24-41DB-AC47-AA348D73DA8C}</author>
    <author>tc={A4619DBD-E9EB-4E88-8465-58689912AC87}</author>
    <author>tc={E7FBFC41-2B35-4809-BD12-146A582C3AFC}</author>
    <author>tc={0CA484F5-8A98-435D-AB27-B1249F35875A}</author>
    <author>tc={6F3B28A0-E505-4664-A977-272C51889A5C}</author>
    <author>tc={4DD22F64-F8CE-4B97-A49E-F2D9112C2FC9}</author>
    <author>tc={258ECE78-FA64-4101-849B-0C5EFCD421C6}</author>
    <author>tc={2A3CFA37-2F75-4FF0-AA5D-5CB0E16C0AB2}</author>
    <author>tc={99EC0C70-C7C7-41A6-AE91-425FF2ACFA87}</author>
    <author>tc={1786152D-267A-446F-ACD5-EC2CFCA5CFB4}</author>
    <author>tc={4F86C146-D563-43C0-BB93-A3868504C229}</author>
    <author>tc={F271302E-8B22-4C06-8085-9BA858876756}</author>
    <author>tc={B30C812F-778C-452A-87F5-CFB82BF8EA30}</author>
    <author>tc={8BAAC39F-FF12-42A7-9770-E0092F5D6A83}</author>
    <author>tc={DAE75D4E-27D9-4E9E-87D6-C250579FBE0C}</author>
    <author>tc={BEB27D24-557F-4BFA-BB49-CC30960C2FAD}</author>
    <author>tc={9BABD56C-A55E-460F-8243-F29119CB12FE}</author>
    <author>tc={34384A4D-D65C-410F-BB28-F99009FA30CC}</author>
    <author>tc={CBD822A0-34A5-47AC-A378-B9FEAFCB90CE}</author>
    <author>tc={9AB12858-C471-4362-B654-D0F4349392B4}</author>
    <author>tc={2708E314-CF8A-499D-978F-57CB363F95DF}</author>
    <author>tc={B13AA0E4-57BD-4699-9C56-3A3B6FCDF577}</author>
    <author>tc={B6D49223-D06C-46FC-A823-C894CF116AC0}</author>
    <author>tc={CAA7BE7D-8540-4BE0-8473-F74D6725862F}</author>
    <author>tc={D9F50B0B-4FFF-47F8-876E-479BA9EBD8E4}</author>
    <author>tc={911A7BE4-A10A-450A-BD3F-FD2755F67F36}</author>
    <author>tc={F7BAB4EC-D1CC-4566-8800-4DA9E0CDA575}</author>
    <author>tc={9A9F096F-86E7-4BB5-B2E0-ACB3595A77EF}</author>
    <author>tc={FF277A6E-40CA-4285-BCC4-8F14083BC57F}</author>
    <author>tc={B052A5D5-9590-4F34-915A-0D5991C6FE69}</author>
    <author>tc={2FD4D06F-0541-42D1-A831-369496AFD2F5}</author>
    <author>tc={90435257-A251-498A-8EA0-B66C2577E11A}</author>
    <author>tc={E8E505A8-42D2-482F-B2F4-55F4F5B008FF}</author>
    <author>tc={B5669DAE-8286-4ECE-9141-9F8615829F2C}</author>
    <author>tc={BF951E42-4FC9-469C-BF86-B850CE544729}</author>
    <author>tc={44EE572C-AF7B-4BF4-88E1-8C2A88927DB1}</author>
    <author>tc={5A80A594-C0B1-4925-BCD4-D53C464AA5C7}</author>
    <author>tc={C5ECD56A-0798-4963-BD46-BEC7BF65070E}</author>
    <author>tc={2533D20D-B973-4564-AFCC-ED9CFBECE0B8}</author>
  </authors>
  <commentList>
    <comment ref="E2" authorId="0" shapeId="0" xr:uid="{9BB29C33-632B-454E-9E8F-0A239B199A00}">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utiliza modelos de inteligencia artificial de última generación, incluyendo algoritmos generativos para la interpretación automática de documentación técnica y modelos predictivos.</t>
      </text>
    </comment>
    <comment ref="G2" authorId="1" shapeId="0" xr:uid="{FAC72C1B-F6B9-4E6E-9813-227B3008CD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Múltiples modelos de entrenamiento Natural (Language Understanding – NLU) para predicción de intenciones </t>
      </text>
    </comment>
    <comment ref="H2" authorId="2" shapeId="0" xr:uid="{C072308C-381C-4121-BACC-3931A7DA51D3}">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propuesta por GlobalHitss contempla el desarrollo e implementación de una 
plataforma conversacional basada en inteligencia artificial.</t>
      </text>
    </comment>
    <comment ref="I2" authorId="3" shapeId="0" xr:uid="{FA7A2FB7-C2DE-428A-B02A-03E404EA537A}">
      <text>
        <t>[Comentario encadenado]
Su versión de Excel le permite leer este comentario encadenado; sin embargo, las ediciones que se apliquen se quitarán si el archivo se abre en una versión más reciente de Excel. Más información: https://go.microsoft.com/fwlink/?linkid=870924
Comentario:
    - NLP avanzado (Gemini / Azure Text Analytics /GCP Text analytics) o su 
equivalente.
- Análisis de emociones en tiempo real, interpretación de textos, imágenes y 
audios (speech-to-text)</t>
      </text>
    </comment>
    <comment ref="J2" authorId="4" shapeId="0" xr:uid="{0741DCCC-157C-47A3-94DF-11A63922CD1A}">
      <text>
        <t>[Comentario encadenado]
Su versión de Excel le permite leer este comentario encadenado; sin embargo, las ediciones que se apliquen se quitarán si el archivo se abre en una versión más reciente de Excel. Más información: https://go.microsoft.com/fwlink/?linkid=870924
Comentario:
    Laraigo, permite integrarse con cualquier proveedor de inteligencia artificial, para el procesamiento de texto, imágenes, audio, etc. Permitiendo a las empresas, acceder de manera fácil e intuitiva a las nuevas tecnologías como Inteligencia Artificial Conversacional (watsonx Assistant, DialogFlow, etc). Asimismo, la integración con inteligencia artificial generativa (OpenAI, Llama, watsonx.ai, DeepSeek, etc).
Utiliza la inteligencia artificial generativa para poder crear asistentes especializados, personaliza tu asistente con instrucciones de calidad para la atención del cliente y una base de conocimiento necesaria para responder adecuadamente sobre el tema que queramos que se atienda</t>
      </text>
    </comment>
    <comment ref="L2" authorId="5" shapeId="0" xr:uid="{CB4E605C-E223-4D11-8BBA-AB2A01F1A7A0}">
      <text>
        <t>[Comentario encadenado]
Su versión de Excel le permite leer este comentario encadenado; sin embargo, las ediciones que se apliquen se quitarán si el archivo se abre en una versión más reciente de Excel. Más información: https://go.microsoft.com/fwlink/?linkid=870924
Comentario:
    Asistente Virtual Inteligente: Automatización de respuestas con IA para consultas frecuentes.</t>
      </text>
    </comment>
    <comment ref="M2" authorId="6" shapeId="0" xr:uid="{83C506F6-53B5-4063-A78D-B519BF87F8C4}">
      <text>
        <t>[Comentario encadenado]
Su versión de Excel le permite leer este comentario encadenado; sin embargo, las ediciones que se apliquen se quitarán si el archivo se abre en una versión más reciente de Excel. Más información: https://go.microsoft.com/fwlink/?linkid=870924
Comentario:
    Modelo de IA Generativa
•Entrega agente de IA entrenado, integrado y desplegado.</t>
      </text>
    </comment>
    <comment ref="E3" authorId="7" shapeId="0" xr:uid="{E9C1F477-6CCD-4D3A-AEA6-F6BD3E0DEA5E}">
      <text>
        <t>[Comentario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modelos de aprendizaje supervisados y no supervisados para la mejora continua. En el supervisado, un experto revisa las respuestas dadas por el sistema e indica la respuesta correcta en caso de error. En no supervisado, este entrenamiento se hace de manera automatizada, evaluando la respuesta del usuario a la información proporcionada y la interacción posterior del usuario con el sistema. El uso de datos de prueba y validación garantiza que las adaptaciones de los modelos mantengan la calidad de las respuestas en el máximo nivel.</t>
      </text>
    </comment>
    <comment ref="G3" authorId="8" shapeId="0" xr:uid="{49CBF907-7019-42DF-B558-DF17F6FCF9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Múltiples modelos de entrenamiento Natural (Language Understanding – NLU) para predicción de intenciones. </t>
      </text>
    </comment>
    <comment ref="H3" authorId="9" shapeId="0" xr:uid="{532A5F85-9165-4884-B30F-4C9CF96E220A}">
      <text>
        <t>[Comentario encadenado]
Su versión de Excel le permite leer este comentario encadenado; sin embargo, las ediciones que se apliquen se quitarán si el archivo se abre en una versión más reciente de Excel. Más información: https://go.microsoft.com/fwlink/?linkid=870924
Comentario:
    Propende por la construcción de un 
conocimiento estructurado en analítica especializada, capaz de evolucionar con 
oportunidad y efectividad hacia las tendencias de machine learning y evaluación de 
impacto y efectividad de los modelos.</t>
      </text>
    </comment>
    <comment ref="I3" authorId="10" shapeId="0" xr:uid="{DE7CC034-B56A-4690-B905-E8871CCEDA42}">
      <text>
        <t>[Comentario encadenado]
Su versión de Excel le permite leer este comentario encadenado; sin embargo, las ediciones que se apliquen se quitarán si el archivo se abre en una versión más reciente de Excel. Más información: https://go.microsoft.com/fwlink/?linkid=870924
Comentario:
     Análisis de emociones - Las Herramientas de IA como Gemini, y otros modelos lingüísticos (LLM) pueden detectar diversas emociones en el texto basándose en patrones lingüísticos, palabras clave y claves contextuales. Sin embargo, no "sienten" emociones, sino que las predicen utilizando datos entrenados. Es importante contar con datos claves de entrenamiento para el 
modelo, de lo contrario habrá que construirlo desde el día 0</t>
      </text>
    </comment>
    <comment ref="J3" authorId="11" shapeId="0" xr:uid="{3575B4FC-242E-444A-8631-B088733773B8}">
      <text>
        <t>[Comentario encadenado]
Su versión de Excel le permite leer este comentario encadenado; sin embargo, las ediciones que se apliquen se quitarán si el archivo se abre en una versión más reciente de Excel. Más información: https://go.microsoft.com/fwlink/?linkid=870924
Comentario:
    Laraigo permite entrenar un modelo desde cero, para la detección de intenciones o entidades y estas emplearlas en el flujo conversacional para las diferentes lógicas que se requieran.
También permite entrenar modelos pre entrenados con bases de conocimientos compartidas e instrucciones, como los que ofrecen Open AI, Meta, Mistral, Azure, y más. Configúralos en tu flujo conversacional como asistentes frente a consultas mas complejas que puedan tener los clientes.</t>
      </text>
    </comment>
    <comment ref="L3" authorId="12" shapeId="0" xr:uid="{00157F38-FCB2-44DE-9158-40D8896D3EED}">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Integración con Sistemas de CLARO: Acceso a información en tiempo real desde CRM y bases de datos internas.
➢ Optimización de Respuestas y Análisis de Datos: Medición y mejora continua basada en interacción con IA.
Respuesta:
    Asistente Virtual con IA para responder consultas técnicas en tiempo real.
o Registro y análisis de interacciones para mejora continua.
o Análisis de emociones para adaptar respuestas</t>
      </text>
    </comment>
    <comment ref="M3" authorId="13" shapeId="0" xr:uid="{A1B60F63-F076-411B-981E-751BD156983A}">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 IBM watsonx Orchestrate</t>
      </text>
    </comment>
    <comment ref="E4" authorId="14" shapeId="0" xr:uid="{C96E7912-13E4-4B36-84CC-AD8C872128F7}">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está diseñada para ser una solución altamente configurable, lo que permite su adaptación sin requerir conocimientos técnicos avanzados. Esto significa que cualquier usuario con una comprensión básica del negocio puede ajustar los flujos y personalizar la herramienta para maximizar su rendimiento en situaciones específicas. Esta capacidad de personalización
garantiza que los procesos diseñados se alineen con los objetivos operativos del cliente, logrando el máximo aprovechamiento de las funcionalidades del sistema.</t>
      </text>
    </comment>
    <comment ref="K4" authorId="15" shapeId="0" xr:uid="{4171105F-9938-4F80-9C54-973B1F2A31BD}">
      <text>
        <t>[Comentario encadenado]
Su versión de Excel le permite leer este comentario encadenado; sin embargo, las ediciones que se apliquen se quitarán si el archivo se abre en una versión más reciente de Excel. Más información: https://go.microsoft.com/fwlink/?linkid=870924
Comentario:
    Con los años, fonYou ha conseguido desarrollar una avanzada lógica de inteligencia de negocio que le permite mediante la aplicación de algoritmos de Machine Learning, conocer y segmentar a los usuarios, alcanzando altos niveles de personalización.</t>
      </text>
    </comment>
    <comment ref="L4" authorId="16" shapeId="0" xr:uid="{3A63603B-4272-4609-B9FB-600C9FD36A52}">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nivel de personalización a nivel de tipos de consulta puede personalizarse durante la etapa de setup del proyecto según las necesidades de Claro, y luego puede continuar ajustándose durante la fase de mantenimiento y mejora contínua.</t>
      </text>
    </comment>
    <comment ref="E5" authorId="17" shapeId="0" xr:uid="{66365E4B-FE11-4B26-AA55-BD7E73468196}">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incorpora, además, un sistema avanzado de caché para reducir el número de conversiones y, así, reducir el coste y las latencias de generación, permitiendo, de esta manera, obtener la mejor experiencia del usuario. La solución generará informes online del uso de estos recursos, número de solicitudes, tiempo de generación, acumulación tiempo de audios, errores de generación, longitud de los textos utilizados.</t>
      </text>
    </comment>
    <comment ref="G5" authorId="18" shapeId="0" xr:uid="{F99E0C92-F962-416C-AD5C-0478EC91B9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monitoreará la cantidad de conversaciones y su efectividad durante el primer trimestre productivo y se realizarán ajustes de ser necesario a la capacidad incluida. A convenir entre las partes según el siguiente método para el Cálculo Propuesto: • C (Cumplimiento de los objetivos del servicio): En este caso, es el cumplimiento de las 150,000 conversaciones definidas. Este valor se calcula como el porcentaje de conversaciones que cumplen con el objetivo sobre el total de conversaciones definidas. • S (Cumplimiento de los 8 casos de uso productivos): El cumplimiento de los 8 casos de uso productivos se calcula como el porcentaje de casos de usoproductivos cumplidos respecto al total definido (8 casos). • Fórmula propuesta, E &gt; 90% </t>
      </text>
    </comment>
    <comment ref="H5" authorId="19" shapeId="0" xr:uid="{4AF50980-CB85-4A4F-BFDE-53EB75518983}">
      <text>
        <t>[Comentario encadenado]
Su versión de Excel le permite leer este comentario encadenado; sin embargo, las ediciones que se apliquen se quitarán si el archivo se abre en una versión más reciente de Excel. Más información: https://go.microsoft.com/fwlink/?linkid=870924
Comentario:
    ▪ Modelos Predictivos R: Implementación de algoritmos de machine learning en Python y R principalmente para la segmentación de clientes, predicción de churn 
y optimización de ingresos.
▪ Visualización y Reportería: Creación de tableros dinámicos en Power BI y 
Tableau, facilitando el acceso a insights clave en tiempo real.</t>
      </text>
    </comment>
    <comment ref="I5" authorId="20" shapeId="0" xr:uid="{AABAE86F-1C09-433E-9930-E5CF5771953F}">
      <text>
        <t>[Comentario encadenado]
Su versión de Excel le permite leer este comentario encadenado; sin embargo, las ediciones que se apliquen se quitarán si el archivo se abre en una versión más reciente de Excel. Más información: https://go.microsoft.com/fwlink/?linkid=870924
Comentario:
    Monitorear performance
de IA y APIs.</t>
      </text>
    </comment>
    <comment ref="K5" authorId="21" shapeId="0" xr:uid="{6CB92190-66DD-40FC-9832-6E76D9538A95}">
      <text>
        <t>[Comentario encadenado]
Su versión de Excel le permite leer este comentario encadenado; sin embargo, las ediciones que se apliquen se quitarán si el archivo se abre en una versión más reciente de Excel. Más información: https://go.microsoft.com/fwlink/?linkid=870924
Comentario:
    La propuesta contempla una plataforma de monitoreo que muestra el estado de los servicios que conforman la arquitectura modular</t>
      </text>
    </comment>
    <comment ref="L5" authorId="22" shapeId="0" xr:uid="{CC31B01A-10D2-4109-9F2E-5924A9490266}">
      <text>
        <t>[Comentario encadenado]
Su versión de Excel le permite leer este comentario encadenado; sin embargo, las ediciones que se apliquen se quitarán si el archivo se abre en una versión más reciente de Excel. Más información: https://go.microsoft.com/fwlink/?linkid=870924
Comentario:
    El monitoreo del servicio se llevará a cabo mediante las herramientas Cloud Logging y Cloud Monitoring de Google Cloud Platform. Tanto los aspectos de infraestructura como características propias del servicio como la latencia de respuestas, cantidad de consultas procesadas, porcentaje de errores, interrupciones en las integraciones, entre otros, serán considerados para la creación de métricas asociadas a dashboards y a alertas.</t>
      </text>
    </comment>
    <comment ref="M5" authorId="23" shapeId="0" xr:uid="{D806817C-E7AD-4D89-8509-75074341FADC}">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 IBM watsonx Orchestrate</t>
      </text>
    </comment>
    <comment ref="E6" authorId="24" shapeId="0" xr:uid="{20171188-C8D2-4ABB-AAB9-8A4A43CE518C}">
      <text>
        <t>[Comentario encadenado]
Su versión de Excel le permite leer este comentario encadenado; sin embargo, las ediciones que se apliquen se quitarán si el archivo se abre en una versión más reciente de Excel. Más información: https://go.microsoft.com/fwlink/?linkid=870924
Comentario:
    La arquitectura nativa en la nube de LISA está diseñada para ser altamente adaptable y compatible con diversos entornos de infraestructura de nube, ya sean públicos o privados. Esto significa que la solución puede ser implementada sin problemas en plataformas como AWS, Azure, Google Cloud Platform u otras infraestructuras
basadas en la nube.</t>
      </text>
    </comment>
    <comment ref="G6" authorId="25" shapeId="0" xr:uid="{025FB640-0EB7-4B79-98E5-9E02133374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Análisis de uso y rendimiento que proporciona información procesable sobre las diferentes métricas de uso de los canales. </t>
      </text>
    </comment>
    <comment ref="H6" authorId="26" shapeId="0" xr:uid="{1B7793C1-B61C-49FD-8B8F-8F427E5E6639}">
      <text>
        <t>[Comentario encadenado]
Su versión de Excel le permite leer este comentario encadenado; sin embargo, las ediciones que se apliquen se quitarán si el archivo se abre en una versión más reciente de Excel. Más información: https://go.microsoft.com/fwlink/?linkid=870924
Comentario:
     Infraestructura de Datos: Utilización de bases de datos robustas y herramientas de procesamiento masivo como Teradata, PostgreSQL y Oracle para la consolidación de información.</t>
      </text>
    </comment>
    <comment ref="I6" authorId="27" shapeId="0" xr:uid="{039F8D05-4ED7-4D29-B914-CE4D22D0FC5A}">
      <text>
        <t>[Comentario encadenado]
Su versión de Excel le permite leer este comentario encadenado; sin embargo, las ediciones que se apliquen se quitarán si el archivo se abre en una versión más reciente de Excel. Más información: https://go.microsoft.com/fwlink/?linkid=870924
Comentario:
    On-Premise/Cloud: Opción de hospedaje en AWS/GCP.</t>
      </text>
    </comment>
    <comment ref="J6" authorId="28" shapeId="0" xr:uid="{3CA0EF17-06D9-4425-961F-4776C731653F}">
      <text>
        <t>[Comentario encadenado]
Su versión de Excel le permite leer este comentario encadenado; sin embargo, las ediciones que se apliquen se quitarán si el archivo se abre en una versión más reciente de Excel. Más información: https://go.microsoft.com/fwlink/?linkid=870924
Comentario:
    Laraigo se encuentra desplegado en una plataforma Cloud en un entorno de alta disponibilidad con cobertura en múltiples zonas para sus diversos componentes.
Esta plataforma combina la oferta de plataforma como servicio (PaaS) con infraestructura como servicio (IaaS) para proporcionar una experiencia integrada y eficiente.</t>
      </text>
    </comment>
    <comment ref="K6" authorId="29" shapeId="0" xr:uid="{8F12F868-8599-4EA8-91B3-AD9A0FBDE678}">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productos y servicios fonYou tienen como objetivo reducir el Time To Market, gracias a los módulos flexibles y a la arquitectura adaptable en Cloud.</t>
      </text>
    </comment>
    <comment ref="L6" authorId="30" shapeId="0" xr:uid="{3063BDE8-ACC8-4765-BB0D-EC8F552E0F1A}">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servicios de Sixbell/Adereso cuentan con arquitectura altamente disponible y escalable, dentro de Google Cloud, según se indica en el Anexo 1 de arquitectura y seguridad.</t>
      </text>
    </comment>
    <comment ref="M6" authorId="31" shapeId="0" xr:uid="{5B5A8CC6-64C2-430B-875C-B154C0169C59}">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 Condiciones generales para las ofertas de cloud</t>
      </text>
    </comment>
    <comment ref="E7" authorId="32" shapeId="0" xr:uid="{787D53BE-553A-4F1F-A356-E5F7082662CD}">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soporta una arquitectura multitenant, lo que permite configurar flujos específicos para cada tenant de manera independiente. Esto facilita la segmentación y administración de los
servicios según las necesidades de cada área de negocio. Además, la integración con múltiples canales de atención, como web, chat, WhatsApp y voz, proporciona flexibilidad para que los técnicos puedan interactuar con la solución desde diferentes entornos, mejorando la cobertura y la accesibilidad en el soporte en campo.</t>
      </text>
    </comment>
    <comment ref="G7" authorId="33" shapeId="0" xr:uid="{0C01262A-18F2-49FD-ABD2-9111BFF31B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Análisis de uso y rendimiento que proporciona información procesable sobre las diferentes métricas de uso de los canales. 
</t>
      </text>
    </comment>
    <comment ref="H7" authorId="34" shapeId="0" xr:uid="{DBF59A18-6B2C-4DEB-A82C-013070C7553D}">
      <text>
        <t>[Comentario encadenado]
Su versión de Excel le permite leer este comentario encadenado; sin embargo, las ediciones que se apliquen se quitarán si el archivo se abre en una versión más reciente de Excel. Más información: https://go.microsoft.com/fwlink/?linkid=870924
Comentario:
     Infraestructura de Datos: Utilización de bases de datos robustas y herramientas de procesamiento masivo como Teradata, PostgreSQL y Oracle para la consolidación de información.</t>
      </text>
    </comment>
    <comment ref="K7" authorId="35" shapeId="0" xr:uid="{46DBE527-ED09-425B-BECF-497FCB5A9D09}">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Parametrización flexible según las necesidades del negocio y soporte para múltiples canales de comunicación, como WhatsApp, SMS, SAT, USSD y RCS.</t>
      </text>
    </comment>
    <comment ref="L7" authorId="36" shapeId="0" xr:uid="{ED51FA65-B610-4DE1-90A6-A71192931B5E}">
      <text>
        <t>[Comentario encadenado]
Su versión de Excel le permite leer este comentario encadenado; sin embargo, las ediciones que se apliquen se quitarán si el archivo se abre en una versión más reciente de Excel. Más información: https://go.microsoft.com/fwlink/?linkid=870924
Comentario:
    Adereso AI es la plataforma y motor de IA generativa desarrollado por nuestra área de producto, que permite construir asistentes empresariales y soluciones custom multipropósito, para luego integrarlas a distintos canales digitales que el cliente use como medio de consulta o envío de mensajes, como Web, Chat, WhatsApp, app mobile y redes sociales como WhatsApp, Instagram y Facebook.</t>
      </text>
    </comment>
    <comment ref="M7" authorId="37" shapeId="0" xr:uid="{6A7F2907-BF1B-482F-9D3D-85CF6A612B4C}">
      <text>
        <t>[Comentario encadenado]
Su versión de Excel le permite leer este comentario encadenado; sin embargo, las ediciones que se apliquen se quitarán si el archivo se abre en una versión más reciente de Excel. Más información: https://go.microsoft.com/fwlink/?linkid=870924
Comentario:
    Adaptarse a múltiples canales de comunicación (web, móvil, redes sociales, etc.).</t>
      </text>
    </comment>
    <comment ref="E8" authorId="38" shapeId="0" xr:uid="{6C08BBCF-64C3-443A-8341-665464427B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LISA utiliza modelos de inteligencia artificial especializados en el análisis de conversaciones, lo que permite identificar patrones comunicativos y posibles sesgos en tiempo real. Esta capacidad garantiza que el sistema tome decisiones de manera transparente y equitativa, evitando interpretaciones parciales o discriminatorias en la gestión automatizada de interacciones. </t>
      </text>
    </comment>
    <comment ref="H8" authorId="39" shapeId="0" xr:uid="{1BA7F1E0-6A95-43CB-86E2-A1B1990CD1AF}">
      <text>
        <t>[Comentario encadenado]
Su versión de Excel le permite leer este comentario encadenado; sin embargo, las ediciones que se apliquen se quitarán si el archivo se abre en una versión más reciente de Excel. Más información: https://go.microsoft.com/fwlink/?linkid=870924
Comentario:
    ▪ Modelos Predictivos R: Implementación de algoritmos de machine learning en Python y R principalmente para la segmentación de clientes, predicción de churn 
y optimización de ingresos.
▪ Visualización y Reportería: Creación de tableros dinámicos en Power BI y 
Tableau, facilitando el acceso a insights clave en tiempo real.
Respuesta:
    En línea con autoevaluación.</t>
      </text>
    </comment>
    <comment ref="K8" authorId="40" shapeId="0" xr:uid="{0D00916E-200E-4869-9A93-6DDF1D84B64E}">
      <text>
        <t>[Comentario encadenado]
Su versión de Excel le permite leer este comentario encadenado; sin embargo, las ediciones que se apliquen se quitarán si el archivo se abre en una versión más reciente de Excel. Más información: https://go.microsoft.com/fwlink/?linkid=870924
Comentario:
    Manejo de LOGS: Almacenamos registros de auditoría en línea por 90 días y en respaldo por al menos un año.
● Auditorías y Monitoreo: Permitimos auditorías por parte de Claro para verificar el cumplimiento de los requerimientos de seguridad y garantizamos la trazabilidad de acciones realizadas por los usuarios.</t>
      </text>
    </comment>
    <comment ref="L8" authorId="41" shapeId="0" xr:uid="{0AB0432E-DBFF-4759-BEAE-F691CCFD114D}">
      <text>
        <t>[Comentario encadenado]
Su versión de Excel le permite leer este comentario encadenado; sin embargo, las ediciones que se apliquen se quitarán si el archivo se abre en una versión más reciente de Excel. Más información: https://go.microsoft.com/fwlink/?linkid=870924
Comentario:
    La definición de las métricas y alertas asociadas se coordinarán con el cliente, como parte del acuerdo de integración. Adicionalmente, Sixbell/Adereso puede dar acceso a los monitores respectivos de Cloud Monitoring al equipo de CLARO para auditoría de la calidad del servicio en el tiempo</t>
      </text>
    </comment>
    <comment ref="E9" authorId="42" shapeId="0" xr:uid="{7D5C9EAC-EBA1-414B-AFA6-6470828ED08E}">
      <text>
        <t>[Comentario encadenado]
Su versión de Excel le permite leer este comentario encadenado; sin embargo, las ediciones que se apliquen se quitarán si el archivo se abre en una versión más reciente de Excel. Más información: https://go.microsoft.com/fwlink/?linkid=870924
Comentario:
    La infraestructura está diseñada para soportar altos volúmenes de solicitudes con escalabilidad horizontal y vertical. El uso de microservicios independientes garantiza que los fallos en un componente no afecten al resto del sistema, permitiendo el mantenimiento y la actualización de cada módulo sin interrupciones en el servicio.</t>
      </text>
    </comment>
    <comment ref="G9" authorId="43" shapeId="0" xr:uid="{EFA2AAC8-0E2C-4D5A-95FF-123FC98E01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Puede ajustarse a diferentes volúmenes de usuarios y cargas de trabajo sin comprometer el rendimiento. </t>
      </text>
    </comment>
    <comment ref="H9" authorId="44" shapeId="0" xr:uid="{CF4A8AE6-971C-4BE5-B71A-05B3C799563B}">
      <text>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 y Seguridad: Implementación de procesos de extracción, transformación y carga (ETL) automatizados, asegurando la integridad y seguridad de los datos.</t>
      </text>
    </comment>
    <comment ref="J9" authorId="45" shapeId="0" xr:uid="{489375CF-BF41-4A9C-A42F-2295E97044A6}">
      <text>
        <t>[Comentario encadenado]
Su versión de Excel le permite leer este comentario encadenado; sin embargo, las ediciones que se apliquen se quitarán si el archivo se abre en una versión más reciente de Excel. Más información: https://go.microsoft.com/fwlink/?linkid=870924
Comentario:
    Nuestra solución está diseñada para cumplir con los requerimientos de volumetría mensual establecidos por Claro Colombia, asegurando un manejo eficiente de grandes volúmenes de conversaciones sin comprometer la calidad del servicio. Gracias a nuestra infraestructura escalable y optimizada, garantizamos estabilidad, rapidez y un desempeño consistente en todo momento.</t>
      </text>
    </comment>
    <comment ref="K9" authorId="46" shapeId="0" xr:uid="{0F8FA171-73F3-408A-95FA-9D44E9A488E6}">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Interfaz web intuitiva y escalable, alojada en la nube, que facilita la configuración y gestión eficiente de los flujos de trabajo</t>
      </text>
    </comment>
    <comment ref="E10" authorId="47" shapeId="0" xr:uid="{29D7CA48-B853-4209-B19A-B32C456B4517}">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cuenta con un conjunto de mecanismos de
gobernanza que aseguran el control completo del ciclo de vida de los modelos, desde su implementación inicial hasta su actualización y
optimización. Estos mecanismos garantizan la
trazabilidad de cada cambio realizado y el cumplimiento normativo, proporcionando un
entorno de operación seguro, controlado y eficiente. De esta forma, se asegura que cada modificación en el sistema esté debidamente documentada y sea rastreable en caso de auditorías o revisiones.</t>
      </text>
    </comment>
    <comment ref="G10" authorId="48" shapeId="0" xr:uid="{176F519B-9183-4D58-A82B-ADA04F1C811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servicio ofrece una gestión automatizada del ciclo de vida de la base de datos que reduce la administración, un desarrollo integrado de aplicaciones con poco código que acelera la implementación de nuevas aplicaciones y la ampliación de recursos informáticos con precios de pago por consumo que reducen los costos </t>
      </text>
    </comment>
    <comment ref="H10" authorId="49" shapeId="0" xr:uid="{1B3B4863-99DA-4613-96DF-7604E63CD42B}">
      <text>
        <t>[Comentario encadenado]
Su versión de Excel le permite leer este comentario encadenado; sin embargo, las ediciones que se apliquen se quitarán si el archivo se abre en una versión más reciente de Excel. Más información: https://go.microsoft.com/fwlink/?linkid=870924
Comentario:
    El enfoque que se aplicará para la implementación de este proyecto será una adaptación de la metodología CRISP-DM manejando el desarrollo de iniciativas de analítica de datos e inteligencia artificial.</t>
      </text>
    </comment>
    <comment ref="J10" authorId="50" shapeId="0" xr:uid="{8C94A634-0AD4-4B42-97B5-968B8FF1B883}">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de trabajo: Nuestro equipo de trabajo está conformado por un Jefe de Proyecto, Arquitecto de Infraestructura, Consultor Técnico y Consultor Funcional. Cada uno de los miembros del equipo está segmentado en funciones específicas para que al momento de unir los esfuerzos, se vea un gran equipo de trabajo.</t>
      </text>
    </comment>
    <comment ref="L10" authorId="51" shapeId="0" xr:uid="{75F6E503-C351-4349-8FD3-F3F30715F87C}">
      <text>
        <t>[Comentario encadenado]
Su versión de Excel le permite leer este comentario encadenado; sin embargo, las ediciones que se apliquen se quitarán si el archivo se abre en una versión más reciente de Excel. Más información: https://go.microsoft.com/fwlink/?linkid=870924
Comentario:
    Proponemos un modelo de IA Generativa transversal y progresivo a la organización con un enfoque Customer Centric, que permite obtener beneficios en términos de potenciar la creatividad, mejorar experiencia y automatizar procesos operativos en todo el Viaje del Cliente</t>
      </text>
    </comment>
    <comment ref="G11" authorId="52" shapeId="0" xr:uid="{867DFF7F-164C-4A83-87AC-1B76EE7FF07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Almacena mensajes, respuestas y metadatos. </t>
      </text>
    </comment>
    <comment ref="H11" authorId="53" shapeId="0" xr:uid="{18CC7839-E6D3-46CC-89B5-8944559F236F}">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permitirá la integración con bases de datos corporativas (OFSC), asegurando la asignación de trabajos de manera óptima. Se implementará un asistente virtual inteligente que no solo responderá consultas, sino que también analizará patrones operativos para mejorar la eficiencia y reducir incidencias.</t>
      </text>
    </comment>
    <comment ref="L11" authorId="54" shapeId="0" xr:uid="{7755DA60-0E64-4880-AF30-7929E14DA1FD}">
      <text>
        <t>[Comentario encadenado]
Su versión de Excel le permite leer este comentario encadenado; sin embargo, las ediciones que se apliquen se quitarán si el archivo se abre en una versión más reciente de Excel. Más información: https://go.microsoft.com/fwlink/?linkid=870924
Comentario:
    Dar una gestión asertiva sobre razonamiento de visitas por condiciones inseguras, asegurando que están bien razonadas y estableciendo modelos predictivos que puedan mejorar la efectividad de la operación y la comunicación efectiva al cliente mejorando la experiencia. </t>
      </text>
    </comment>
    <comment ref="M11" authorId="55" shapeId="0" xr:uid="{26E7E99A-3FDF-4DC0-B5AD-2DF16664264A}">
      <text>
        <t>[Comentario encadenado]
Su versión de Excel le permite leer este comentario encadenado; sin embargo, las ediciones que se apliquen se quitarán si el archivo se abre en una versión más reciente de Excel. Más información: https://go.microsoft.com/fwlink/?linkid=870924
Comentario:
    El alcance del análisis de sentimiento se hará a través de Modelos LLM, almacenando su resultado en una base de datos. No se incluyen modelos de analítica tradicional.</t>
      </text>
    </comment>
    <comment ref="G12" authorId="56" shapeId="0" xr:uid="{D721043D-21BE-4651-907D-B61A42F2611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incluye insights procedentes de la data generada tras las interacciones con el asistente, análisis integrados para ofrecer información sobre las conversaciones y métricas de utilización, para mejorar la precisión del asistente y crear una mejor experiencia de usuario </t>
      </text>
    </comment>
    <comment ref="I12" authorId="57" shapeId="0" xr:uid="{45483E24-02B8-4088-835B-22332D53AC6A}">
      <text>
        <t>[Comentario encadenado]
Su versión de Excel le permite leer este comentario encadenado; sin embargo, las ediciones que se apliquen se quitarán si el archivo se abre en una versión más reciente de Excel. Más información: https://go.microsoft.com/fwlink/?linkid=870924
Comentario:
     Análisis de emociones en tiempo real, interpretación de textos, imágenes y 
audios (speech-to-text).</t>
      </text>
    </comment>
    <comment ref="J12" authorId="58" shapeId="0" xr:uid="{F8CDBA08-7875-4B2C-BBB7-1AD682677349}">
      <text>
        <t>[Comentario encadenado]
Su versión de Excel le permite leer este comentario encadenado; sin embargo, las ediciones que se apliquen se quitarán si el archivo se abre en una versión más reciente de Excel. Más información: https://go.microsoft.com/fwlink/?linkid=870924
Comentario:
    Laraigo, permite integrarse con cualquier proveedor de inteligencia artificial, para el procesamiento de texto, imágenes, audio, etc. Permitiendo a las empresas, acceder de manera fácil e intuitiva a las nuevas tecnologías como Inteligencia Artificial Conversacional (watsonx Assistant, DialogFlow, etc). Asimismo, la integración con inteligencia artificial generativa (OpenAI, Llama, watsonx.ai, DeepSeek, etc).</t>
      </text>
    </comment>
    <comment ref="L12" authorId="59" shapeId="0" xr:uid="{A2CD6959-95E3-474B-B590-5B8D92F0317D}">
      <text>
        <t>[Comentario encadenado]
Su versión de Excel le permite leer este comentario encadenado; sin embargo, las ediciones que se apliquen se quitarán si el archivo se abre en una versión más reciente de Excel. Más información: https://go.microsoft.com/fwlink/?linkid=870924
Comentario:
    Permite al técnico describir el incidente, correlaciona información existente (Máximo) o genera automáticamente nuevos incidentes. ➢ Mal programado: Presenta opciones automatizadas para corregir agendamiento.</t>
      </text>
    </comment>
    <comment ref="M12" authorId="60" shapeId="0" xr:uid="{ADE395CA-D68F-4F10-9E09-4CAB33122246}">
      <text>
        <t>[Comentario encadenado]
Su versión de Excel le permite leer este comentario encadenado; sin embargo, las ediciones que se apliquen se quitarán si el archivo se abre en una versión más reciente de Excel. Más información: https://go.microsoft.com/fwlink/?linkid=870924
Comentario:
    En caso de requerirse el procesamiento de imágenes se procederá a Colocar. No estimado</t>
      </text>
    </comment>
    <comment ref="H13" authorId="61" shapeId="0" xr:uid="{2449112F-D3A1-4C4B-8542-98FF6B95DEB9}">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permitirá la integración con bases de datos corporativas (OFSC), asegurando la asignación de trabajos de manera óptima.</t>
      </text>
    </comment>
    <comment ref="J13" authorId="62" shapeId="0" xr:uid="{E2298661-82D4-4074-93B9-136B094FE3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BD PostgreSQL – v15
BD MongoDB v6
</t>
      </text>
    </comment>
    <comment ref="L13" authorId="63" shapeId="0" xr:uid="{123D5271-9C56-4B13-9BFC-6CFDE57EFE73}">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este proceso, el modelo Agent RAG recupera información relevante desde distintas fuentes, identificando los conceptos clave y evaluando cuál es la respuesta más probable. Sin embargo, cuando la información recuperada es extensa o abarca múltiples posibilidades, se presentarán los posibles caminos de respuesta, similar a un árbol de decisión, permitiendo que la interacción con el técnico fluya de manera conversacional.
Respuesta:
    El bot es capaz de leer y entender información sobre rangos de valores, tanto en formato tabulado como en prosa. Esto es posible gracias a nuestro mecanismo de pre-procesamiento, que separa y transforma la información de un modo que la hace más fácilmente buscable y comprensible por parte de los modelos de lenguaje</t>
      </text>
    </comment>
    <comment ref="E14" authorId="64" shapeId="0" xr:uid="{3A8A5F15-87EB-456B-9BF0-C002207CBB72}">
      <text>
        <t>[Comentario encadenado]
Su versión de Excel le permite leer este comentario encadenado; sin embargo, las ediciones que se apliquen se quitarán si el archivo se abre en una versión más reciente de Excel. Más información: https://go.microsoft.com/fwlink/?linkid=870924
Comentario:
    El Asistente Virtual Inteligente con capacidades avanzadas de procesamiento de lenguaje natural (NLP) para entender y responder a las consultas de los técnicos de manera precisa y contextual.</t>
      </text>
    </comment>
    <comment ref="G14" authorId="65" shapeId="0" xr:uid="{D272246C-9306-44B4-B4E2-4803EE3819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Procesamiento avanzado del lenguaje natural (NLP) • Reconocimiento de intenciones • Mantiene el contexto de la conversación. Las respuestas generadas son coherentes y gramaticalmente correctas. • Contexto conversacional. Aprendizaje en contexto con base en el vocabulario propio de Claro • Acceso a la informacion de OFS para enriquecimiento de respuestas, • Soporte multiplataforma: Whatsapp, Messenger, App móviles y web </t>
      </text>
    </comment>
    <comment ref="H14" authorId="66" shapeId="0" xr:uid="{FC3447DE-BC05-42E0-BE7C-51CF96599022}">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Integración con un asistente virtual inteligente con capacidades NLP.</t>
      </text>
    </comment>
    <comment ref="I14" authorId="67" shapeId="0" xr:uid="{A84F92D8-BE40-4857-916F-91B54FE6368E}">
      <text>
        <t>[Comentario encadenado]
Su versión de Excel le permite leer este comentario encadenado; sin embargo, las ediciones que se apliquen se quitarán si el archivo se abre en una versión más reciente de Excel. Más información: https://go.microsoft.com/fwlink/?linkid=870924
Comentario:
    NLP avanzado (Gemini / Azure Text Analytics /GCP Text analytics) o su 
equivalente.</t>
      </text>
    </comment>
    <comment ref="K14" authorId="68" shapeId="0" xr:uid="{C16F1D8B-8770-479F-8ACD-FDE1270B50C2}">
      <text>
        <t>[Comentario encadenado]
Su versión de Excel le permite leer este comentario encadenado; sin embargo, las ediciones que se apliquen se quitarán si el archivo se abre en una versión más reciente de Excel. Más información: https://go.microsoft.com/fwlink/?linkid=870924
Comentario:
    en caso de que Claro requiera la inclusión de NLP, aprendizaje automático y análisis de sentimientos, fonYou implementará estas funcionalidades utilizando la tecnología de Vertex AI de Google Cloud, de la cual somos socios.</t>
      </text>
    </comment>
    <comment ref="L14" authorId="69" shapeId="0" xr:uid="{3C52ED09-93ED-49D8-8ECB-2C1EB507674E}">
      <text>
        <t>[Comentario encadenado]
Su versión de Excel le permite leer este comentario encadenado; sin embargo, las ediciones que se apliquen se quitarán si el archivo se abre en una versión más reciente de Excel. Más información: https://go.microsoft.com/fwlink/?linkid=870924
Comentario:
    Adereso lidera la vanguardia de la Inteligencia Artificial (IA), evolucionando constantemente para proporcionar soluciones de atención al cliente más avanzadas y eficientes. Cuenta con chatbots basados en GPT-4 y la arquitectura Transformer, una IA altamente sofisticada, capaz de comprender y generar lenguaje humano con una precisión y coherencia inigualables.</t>
      </text>
    </comment>
    <comment ref="M14" authorId="70" shapeId="0" xr:uid="{F73C134F-75DE-4FCD-B21A-DE439225C514}">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garantizará el acceso a las fuentes externas, tanto en lo referente a permisos, así como los temas contractuales y económicos que esto implique.</t>
      </text>
    </comment>
    <comment ref="E15" authorId="71" shapeId="0" xr:uid="{F3F3B177-1099-4DB2-95B6-B922A01FB912}">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utiliza las tecnologías más avanzadas disponibles para procesar la información contenida en los distintos documentos. El procesamiento de imágenes y/o diagramas para generar los modelos dependerá de las capacidades de estas tecnologías.</t>
      </text>
    </comment>
    <comment ref="G15" authorId="72" shapeId="0" xr:uid="{6988CBED-DE06-4F37-AD7D-6885B8C24B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Vista operativa de todas las habilidades en el Asistente para identificar patrones de uso, problemas clave y motivos de fallas. </t>
      </text>
    </comment>
    <comment ref="H15" authorId="73" shapeId="0" xr:uid="{0987DB22-D0DB-4CBE-93F9-CF4657B021EF}">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implementará un asistente virtual inteligente que no solo responderá consultas, sino que también analizará patrones operativos para mejorar la eficiencia y reducir incidencias.</t>
      </text>
    </comment>
    <comment ref="I15" authorId="74" shapeId="0" xr:uid="{6F40C3EC-86E9-46E4-9F16-36CDE0F355F1}">
      <text>
        <t>[Comentario encadenado]
Su versión de Excel le permite leer este comentario encadenado; sin embargo, las ediciones que se apliquen se quitarán si el archivo se abre en una versión más reciente de Excel. Más información: https://go.microsoft.com/fwlink/?linkid=870924
Comentario:
    NLP avanzado (Gemini / Azure Text Analytics /GCP Text analytics) o su 
equivalente.
- Análisis de emociones en tiempo real, interpretación de textos, imágenes y 
audios (speech-to-text)</t>
      </text>
    </comment>
    <comment ref="J15" authorId="75" shapeId="0" xr:uid="{7188A72E-AAA9-4754-8DF3-B747E4035162}">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Capacidad de aprendizaje continuo, ajustando su conocimiento en base a patrones de uso e interacciones frecuentes.</t>
      </text>
    </comment>
    <comment ref="L15" authorId="76" shapeId="0" xr:uid="{1ABC3DEB-70D6-458C-9F78-FA578F6AAB61}">
      <text>
        <t>[Comentario encadenado]
Su versión de Excel le permite leer este comentario encadenado; sin embargo, las ediciones que se apliquen se quitarán si el archivo se abre en una versión más reciente de Excel. Más información: https://go.microsoft.com/fwlink/?linkid=870924
Comentario:
    Entender el lenguaje natural es un desafío para cualquier sistema de IA. En Adereso, trabajamos constantemente para mejorar la capacidad de nuestros chatbots de entender y procesar el lenguaje natural. Esto se logra mediante el entrenamiento continuo con grandes volúmenes de interacciones, lo que permite que el sistema aprenda y se adapte a diferentes modismos, dialectos y patrones de habla. Si el sistema no encuentra información relevante en la base de conocimiento, informará al usuario de su falta de información en lugar de intentar dar una respuesta forzada y en caso de disponibilidad de agentes, la consulta será derivada a un humano.</t>
      </text>
    </comment>
    <comment ref="E16" authorId="77" shapeId="0" xr:uid="{F60389DF-DFAA-497F-A0A8-F2601B3C13C5}">
      <text>
        <t>[Comentario encadenado]
Su versión de Excel le permite leer este comentario encadenado; sin embargo, las ediciones que se apliquen se quitarán si el archivo se abre en una versión más reciente de Excel. Más información: https://go.microsoft.com/fwlink/?linkid=870924
Comentario:
    Asegurar la correcta configuración de protocolos y APIs para el intercambio de datos en tiempo real.
APIs Disponibles para Integración:
1. Google Maps API:
• Directions API: Proporciona rutas optimizadas entre múltiples puntos.
• Distance Matrix API: Calcula distancias y tiempos de viaje entre varias ubicaciones.
• Geocoding API: Convierte direcciones en coordenadas geográficas.
• Traffic Layer: Muestra el estado del tráfico en tiempo real.
2. Waze API:
• Waze Transport SDK: Permite integrar el cálculo de rutas optimizadas, el tráfico en tiempo real y el monitoreo del trayecto.
• Waze Deep Links: Permiten abrir la aplicación Waze directamente con la ruta trazada desde una URL.</t>
      </text>
    </comment>
    <comment ref="G16" authorId="78" shapeId="0" xr:uid="{1446B739-EA93-4154-8448-E105B2C8D10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APIs externas - Servicios de terceros o sistemas empresariales que proporcionan información adicional(Legados). 
Análisis de interacciones: Ofrece reportes y métricas sobre el uso, como temas más consultados, tiempos de respuesta, y niveles de satisfacción </t>
      </text>
    </comment>
    <comment ref="H16" authorId="79" shapeId="0" xr:uid="{D8BC249C-A599-4A89-9EA3-A3BF754EA57C}">
      <text>
        <t>[Comentario encadenado]
Su versión de Excel le permite leer este comentario encadenado; sin embargo, las ediciones que se apliquen se quitarán si el archivo se abre en una versión más reciente de Excel. Más información: https://go.microsoft.com/fwlink/?linkid=870924
Comentario:
    Identificación de razones para la no ejecución de OT, integración con sistemas de ticketing para reportar fallas en red. Implementación de aprendizaje automático para sugerir mejoras en la gestión de visitas.</t>
      </text>
    </comment>
    <comment ref="I16" authorId="80" shapeId="0" xr:uid="{C91845E8-7B34-45AA-8ED1-D994467F1A20}">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Integración APIs</t>
      </text>
    </comment>
    <comment ref="J16" authorId="81" shapeId="0" xr:uid="{597BB507-C221-479E-A0E7-A1FE4A360F42}">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solución permite la automatización de procesos conversacionales y se integra perfectamente con sistemas internos y externos mediante APIs</t>
      </text>
    </comment>
    <comment ref="K16" authorId="82" shapeId="0" xr:uid="{7C3054F3-B2FC-46AE-98FC-EAEFE6EE3235}">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Gestionar las conectividades necesarias para la integración con sus sistemas, utilizando APIs REST.</t>
      </text>
    </comment>
    <comment ref="L16" authorId="83" shapeId="0" xr:uid="{35AE2BE1-3807-4432-8684-DFF2D4C83271}">
      <text>
        <t>[Comentario encadenado]
Su versión de Excel le permite leer este comentario encadenado; sin embargo, las ediciones que se apliquen se quitarán si el archivo se abre en una versión más reciente de Excel. Más información: https://go.microsoft.com/fwlink/?linkid=870924
Comentario:
    Además, se entregará acceso a una API especializada que permitirá consultar en tiempo real o periódicamente todas las interacciones realizadas por los técnicos, ofreciendo flexibilidad adicional para la integración con sistemas internos y análisis propios de Claro.</t>
      </text>
    </comment>
    <comment ref="M16" authorId="84" shapeId="0" xr:uid="{EA15E2B8-38AC-4057-AFF4-369224A46DB1}">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integraciones se realizarán por API REST (watsonx orchestrate requiere de un documento OpenAPI de los servicios para añadirlos como skill si no se puede integrar la app a través del catálogo)</t>
      </text>
    </comment>
    <comment ref="E17" authorId="85" shapeId="0" xr:uid="{7168A481-D669-4971-92F6-B83C4EC05167}">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incorpora un componente de RAG que permite gestionar eficientemente la documentación del cliente mediante el uso de IA para analizar y estructurar archivos en múltiples formatos. Esta capacidad permite a la solución no solo procesar información de manera precisa, sino también actualizar automáticamente el modelo con nueva documentación conforme esta se genere. Esto garantiza que el sistema mantenga su precisión y esté siempre alineado con la última información disponible.
En cuanto al almacenamiento de modelos propietarios o generadospor la plataforma, estos se mantienen de forma segura en el sistema de archivos de la nube. Para garantizar la escalabilidad y eficiencia en el procesamiento de modelos generativos, se utilizan servicios específicos proporcionados por la plataforma de Azure. Estos servicios están diseñados para adaptarse dinámicamente a la demanda,escalando recursos de manera automatizada para satisfacer las necesidades cambiantes del sistema</t>
      </text>
    </comment>
    <comment ref="G17" authorId="86" shapeId="0" xr:uid="{1D126E4E-E3DE-4645-AD3C-ED6916770D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Oracle Cloud Infrastructure (OCI) Flexible Load Balancer es un servicio nativo de la nube y de alta disponibilidad que distribuye automáticamente las conexiones entrantes de aplicaciones, desde Internet y de manera interna, a múltiples recursos informáticos para lograr resiliencia y rendimiento. Los balanceadores de carga pueden distribuir el tráfico entre múltiples dominios de fallas, dominios de disponibilidad y regiones OCI en función de las características de persistencia, solicitud y URL. </t>
      </text>
    </comment>
    <comment ref="H17" authorId="87" shapeId="0" xr:uid="{1B0F2FF8-2406-4E81-BBE5-B83804CBCCAA}">
      <text>
        <t>[Comentario encadenado]
Su versión de Excel le permite leer este comentario encadenado; sin embargo, las ediciones que se apliquen se quitarán si el archivo se abre en una versión más reciente de Excel. Más información: https://go.microsoft.com/fwlink/?linkid=870924
Comentario:
    -
HITSS se encarga de usar la máquina aprovisionada para realizar la ejecución de los modelos matemáticos siempre y cuando estén dentro del alcance de la máquina local, de no poder trabajar de esta manera es necesario usar los recursos desplegados en la nube.</t>
      </text>
    </comment>
    <comment ref="J17" authorId="88" shapeId="0" xr:uid="{06EC1BB5-E901-4E97-8BC5-44F71160954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aplica al total agregado de todos los buckets de niveles inteligentes e instancias de almacenamiento de objetos en la nube dentro de su cuenta.</t>
      </text>
    </comment>
    <comment ref="L17" authorId="89" shapeId="0" xr:uid="{D809C008-69A4-446F-9F4F-C50BDF05B719}">
      <text>
        <t>[Comentario encadenado]
Su versión de Excel le permite leer este comentario encadenado; sin embargo, las ediciones que se apliquen se quitarán si el archivo se abre en una versión más reciente de Excel. Más información: https://go.microsoft.com/fwlink/?linkid=870924
Comentario:
    El bot trabaja con un enfoque basado en Agent RAG (Retrieval-Augmented Generation), lo que permite que el sistema no solo busque información en la base documental, sino que también organice la respuesta en función de decisiones encadenadas, guiando al usuario de manera intuitiva hacia la mejor solución</t>
      </text>
    </comment>
    <comment ref="G18" authorId="90" shapeId="0" xr:uid="{6EF0FC35-8E0D-4236-B0F0-66BC10231F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Almacenamiento estructurado de las transacciones </t>
      </text>
    </comment>
    <comment ref="I18" authorId="91" shapeId="0" xr:uid="{4C199465-37A4-42F1-9736-7576270DA169}">
      <text>
        <t>[Comentario encadenado]
Su versión de Excel le permite leer este comentario encadenado; sin embargo, las ediciones que se apliquen se quitarán si el archivo se abre en una versión más reciente de Excel. Más información: https://go.microsoft.com/fwlink/?linkid=870924
Comentario:
    Firebase: Almacena logs de conversaciones.
o MySQL: Guarda perfiles técnicos y patrones de interacción.
o Power BI: Dashboard para análisis de KPI</t>
      </text>
    </comment>
    <comment ref="J18" authorId="92" shapeId="0" xr:uid="{576D3D3A-F8A4-46C6-9BCE-FE2556034550}">
      <text>
        <t>[Comentario encadenado]
Su versión de Excel le permite leer este comentario encadenado; sin embargo, las ediciones que se apliquen se quitarán si el archivo se abre en una versión más reciente de Excel. Más información: https://go.microsoft.com/fwlink/?linkid=870924
Comentario:
    MongoDB es un componente clave en la arquitectura de una plataforma omnicanal orientada al manejo de información no estructurada y grandes volúmenes de datos. Dentro de este tipo de plataformas, MongoDB actúa como una base de datos NoSQL distribuida, diseñada para escalar horizontalmente y manejar datos en formatos flexibles como JSON</t>
      </text>
    </comment>
    <comment ref="K18" authorId="93" shapeId="0" xr:uid="{2F79D2C4-8848-4BF9-BE8E-D4ACE9C2AAB4}">
      <text>
        <t>[Comentario encadenado]
Su versión de Excel le permite leer este comentario encadenado; sin embargo, las ediciones que se apliquen se quitarán si el archivo se abre en una versión más reciente de Excel. Más información: https://go.microsoft.com/fwlink/?linkid=870924
Comentario:
    Google Cloud SQL: Servicio de bases de datos SQL totalmente gestionado que facilita la administración y el mantenimiento de bases de datos MySQL y PostgreSQL en la nube.</t>
      </text>
    </comment>
    <comment ref="M18" authorId="94" shapeId="0" xr:uid="{45204E94-9C9B-40F5-8FC1-B24AA52B78CA}">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integraciones se realizarán por API REST (watsonx orchestrate requiere de un documento OpenAPI de los servicios para añadirlos como skill si no se puede integrar la app a través del catálogo)</t>
      </text>
    </comment>
    <comment ref="I19" authorId="95" shapeId="0" xr:uid="{606096E5-7036-430E-A890-668F41015F0A}">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Integraciones:
§ OFSC: Consulta estado de técnicos/OTs.
§ SAP: Autenticación con código SAP/OTP.</t>
      </text>
    </comment>
    <comment ref="K19" authorId="96" shapeId="0" xr:uid="{C1EDA4AE-FEA0-42CF-8EB2-49B6681242D3}">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establecerán integraciones con otros sistemas de Claro (RR, SAP, Poliedro, Salesforce, etc.) a través de APIs REST, siendo Claro el responsable de proporcionar los mecanismos de integración necesarios.</t>
      </text>
    </comment>
    <comment ref="L19" authorId="97" shapeId="0" xr:uid="{596FC6AB-B510-49D3-B254-71CC638FED30}">
      <text>
        <t>[Comentario encadenado]
Su versión de Excel le permite leer este comentario encadenado; sin embargo, las ediciones que se apliquen se quitarán si el archivo se abre en una versión más reciente de Excel. Más información: https://go.microsoft.com/fwlink/?linkid=870924
Comentario:
    Figura. Portafolio de soluciones Sixbell.</t>
      </text>
    </comment>
    <comment ref="E20" authorId="98" shapeId="0" xr:uid="{FCA20A1E-FA47-441C-872B-BD18608796E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personaliza el menú de opciones según el perfil del usuario, brindando una experiencia adaptada a cada técnico en función de su rol y necesidades operativas.</t>
      </text>
    </comment>
    <comment ref="L20" authorId="99" shapeId="0" xr:uid="{D13DA1DA-93E3-4CAE-9379-AF00343193FF}">
      <text>
        <t>[Comentario encadenado]
Su versión de Excel le permite leer este comentario encadenado; sin embargo, las ediciones que se apliquen se quitarán si el archivo se abre en una versión más reciente de Excel. Más información: https://go.microsoft.com/fwlink/?linkid=870924
Comentario:
    automatización. En Adereso contamos con un constructor de chatbots que permite autonomía para su configuración, desde su personalización y carga de bases de conocimiento, hasta el diseño de nuevos flujos de negocio, que permiten iterar y probar rápidamente.</t>
      </text>
    </comment>
    <comment ref="E21" authorId="100" shapeId="0" xr:uid="{F0BB07C7-56EE-44EE-8F62-9F9052E5B334}">
      <text>
        <t>[Comentario encadenado]
Su versión de Excel le permite leer este comentario encadenado; sin embargo, las ediciones que se apliquen se quitarán si el archivo se abre en una versión más reciente de Excel. Más información: https://go.microsoft.com/fwlink/?linkid=870924
Comentario:
    La solución usa flujos dirigidos y conversaciones generadas estilo chatGTP para gestionas las consultas de los clientes. Estas interacciones 10 realimentan el modelo para mejorar las respuestas ofrecidas.</t>
      </text>
    </comment>
    <comment ref="G21" authorId="101" shapeId="0" xr:uid="{CF64692F-9B24-41DB-AC47-AA348D73DA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Autoaprendizaje moderado para aumentar la eficiencia del asistente. </t>
      </text>
    </comment>
    <comment ref="H21" authorId="102" shapeId="0" xr:uid="{A4619DBD-E9EB-4E88-8465-58689912AC87}">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propuesta busca proporcionar una asistencia eficiente, personalizada y disponible 24/7, integrando capacidades avanzadas de procesamiento de lenguaje natural (NLP), análisis de emociones y aprendizaje automático. El sistema garantizará la validación en tiempo real del estado y rol del técnico, ofreciendo menús de opciones adaptados a su perfil y estado emocional.</t>
      </text>
    </comment>
    <comment ref="J21" authorId="103" shapeId="0" xr:uid="{E7FBFC41-2B35-4809-BD12-146A582C3AFC}">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Capacidad de aprendizaje continuo, ajustando su conocimiento en base a patrones de uso e interacciones frecuentes</t>
      </text>
    </comment>
    <comment ref="L21" authorId="104" shapeId="0" xr:uid="{0CA484F5-8A98-435D-AB27-B1249F35875A}">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Adereso, adoptamos un método basado en la documentación para entrenar a nuestros chatbots. Esto significa que cargamos uno o más documentos y, a partir de ellos, creamos chatbots conversacionales utilizando inteligencia artificial generativa.</t>
      </text>
    </comment>
    <comment ref="M21" authorId="105" shapeId="0" xr:uid="{6F3B28A0-E505-4664-A977-272C51889A5C}">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 IBM watsonx Orchestrate</t>
      </text>
    </comment>
    <comment ref="E22" authorId="106" shapeId="0" xr:uid="{4DD22F64-F8CE-4B97-A49E-F2D9112C2FC9}">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garantizar la disponibilidad del servicio en todo momento, todos los componentes de la solución, denominados pods, están configurados para escalar automáticamente en respuesta a fluctuaciones en la demanda. Esto se logra mediante la implementación de políticas de autoscaling que monitorean de forma continua la carga de trabajo y ajustan dinámicamente el número de pods en funcionamiento.</t>
      </text>
    </comment>
    <comment ref="G22" authorId="107" shapeId="0" xr:uid="{258ECE78-FA64-4101-849B-0C5EFCD421C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Alto rendimiento: Capaz de manejar múltiples conversaciones simultáneamente con tiempos de respuesta rápidos. </t>
      </text>
    </comment>
    <comment ref="H22" authorId="108" shapeId="0" xr:uid="{2A3CFA37-2F75-4FF0-AA5D-5CB0E16C0AB2}">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propuesta busca proporcionar una asistencia eficiente, personalizada y disponible 24/7, integrando capacidades avanzadas de procesamiento de lenguaje natural (NLP), análisis de emociones y aprendizaje automático. El sistema garantizará la validación en tiempo real del estado y rol del técnico, ofreciendo menús de opciones adaptados a su perfil y estado emocional.</t>
      </text>
    </comment>
    <comment ref="J22" authorId="109" shapeId="0" xr:uid="{99EC0C70-C7C7-41A6-AE91-425FF2ACFA87}">
      <text>
        <t>[Comentario encadenado]
Su versión de Excel le permite leer este comentario encadenado; sin embargo, las ediciones que se apliquen se quitarán si el archivo se abre en una versión más reciente de Excel. Más información: https://go.microsoft.com/fwlink/?linkid=870924
Comentario:
    Envía contenido multimedia como documentos, imágenes y videos, también podrás enviar respuestas rápidas, emojis, gifts y bloques enriquecidos que permitirá una comunicación más ágil y llamativa con el cliente.</t>
      </text>
    </comment>
    <comment ref="L22" authorId="110" shapeId="0" xr:uid="{1786152D-267A-446F-ACD5-EC2CFCA5CFB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realmente nos distingue es la rapidez con la que podemos poner en producción estos chatbots. Gracias a nuestro enfoque, podemos lanzar chatbots de alta calidad en un tiempo récord, reduciendo un 95% el tiempo usual de trabajo para exponer un bot al cliente final. Además, este método nos permite realizar actualizaciones y mejoras de manera continua y con la misma agilidad.</t>
      </text>
    </comment>
    <comment ref="M22" authorId="111" shapeId="0" xr:uid="{4F86C146-D563-43C0-BB93-A3868504C229}">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 IBM watsonx Orchestrate</t>
      </text>
    </comment>
    <comment ref="E23" authorId="112" shapeId="0" xr:uid="{F271302E-8B22-4C06-8085-9BA858876756}">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incorpora herramientas de monitoreo robustas para asegurar la continuidad operativa. Utiliza Prometheus para la recopilación de métricas en tiempo real y Grafana para la visualización de indicadores clave de rendimiento (KPIs). Estas herramientas permiten mantener un monitoreo constante del estado del sistema y realizar análisis proactivos para la detección temprana de problemas.</t>
      </text>
    </comment>
    <comment ref="G23" authorId="113" shapeId="0" xr:uid="{B30C812F-778C-452A-87F5-CFB82BF8EA3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Puede ajustarse a diferentes volúmenes de usuarios y cargas de trabajo sin comprometer el rendimiento. </t>
      </text>
    </comment>
    <comment ref="L23" authorId="114" shapeId="0" xr:uid="{8BAAC39F-FF12-42A7-9770-E0092F5D6A83}">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servicios de Sixbell/Adereso cuentan con arquitectura altamente disponible y escalable, dentro de Google Cloud, según se indica en el Anexo 1 de arquitectura y seguridad.</t>
      </text>
    </comment>
    <comment ref="E24" authorId="115" shapeId="0" xr:uid="{DAE75D4E-27D9-4E9E-87D6-C250579FBE0C}">
      <text>
        <t>[Comentario encadenado]
Su versión de Excel le permite leer este comentario encadenado; sin embargo, las ediciones que se apliquen se quitarán si el archivo se abre en una versión más reciente de Excel. Más información: https://go.microsoft.com/fwlink/?linkid=870924
Comentario:
    LISA utiliza modelos de inteligencia artificial especializados en el análisis de conversaciones, lo que permite identificar patrones comunicativos y posibles sesgos en tiempo real. Esta capacidad garantiza que el sistema tome decisiones de manera transparente y equitativa, evitando interpretaciones parciales o discriminatorias en la gestión automatizada de
interacciones. Gracias a estos modelos avanzados, el sistema no solo responde de manera precisa, sino que también mantiene altos estándares éticos en el tratamiento de datos y la atención al usuario.</t>
      </text>
    </comment>
    <comment ref="G24" authorId="116" shapeId="0" xr:uid="{BEB27D24-557F-4BFA-BB49-CC30960C2F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Seguimiento de las tendencias de conversación a lo largo del tiempo </t>
      </text>
    </comment>
    <comment ref="H25" authorId="117" shapeId="0" xr:uid="{9BABD56C-A55E-460F-8243-F29119CB12FE}">
      <text>
        <t>[Comentario encadenado]
Su versión de Excel le permite leer este comentario encadenado; sin embargo, las ediciones que se apliquen se quitarán si el archivo se abre en una versión más reciente de Excel. Más información: https://go.microsoft.com/fwlink/?linkid=870924
Comentario:
    Capitulo Gestión de cambios</t>
      </text>
    </comment>
    <comment ref="L25" authorId="118" shapeId="0" xr:uid="{34384A4D-D65C-410F-BB28-F99009FA30CC}">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 para ser formalizado con el Cliente, donde se especifican los cambios requeridos por el proyecto y el impacto en el alcance, presupuesto o costos. La base de lo que es un cambio o no, lo establecen varios documentos, documentos comerciales; contrato; RFP, Propuesta técnica/comercial y documentos generados durante el proyecto; especificación funcional</t>
      </text>
    </comment>
    <comment ref="E26" authorId="119" shapeId="0" xr:uid="{CBD822A0-34A5-47AC-A378-B9FEAFCB90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LISA está diseñada sobre una arquitectura cloud basada en Kubernetes (K8s) y microservicios, lo que garantiza una alta flexibilidad y capacidad de adaptación a diferentes cargas de trabajo. Esta estructura permite escalar la plataforma tanto de manera horizontal como vertical, ajustándose dinámicamente a la demanda del servicio. Gracias a esta arquitectura, el sistema puede manejar picos de uso sin comprometer el rendimiento, optimizando el consumo de recursos y asegurando una operación continua en escenarios de alta exigencia,
Gracias a la capacidad de innovación y de resolución de problemas y procesos complejos, mediante automatización y la optimización de recursos nuestros clientes verán reducidos sus costos operativos lo que mejorará la rentabilidad a medio y largo plazo. </t>
      </text>
    </comment>
    <comment ref="G26" authorId="120" shapeId="0" xr:uid="{9AB12858-C471-4362-B654-D0F4349392B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 Proporciona un almacenamiento de bloques fiable, de alto rendimiento y de bajo costo. OCI Block Volumes perviven más allá de la vida útil de una máquina virtual, tienen redundancia integrada y pueden escalarse a 1 PB por instancia informática. Brindan una función de ajuste automático del rendimiento que permite escalarlo de forma dinámica conforme cambia la demanda. </t>
      </text>
    </comment>
    <comment ref="J26" authorId="121" shapeId="0" xr:uid="{2708E314-CF8A-499D-978F-57CB363F95DF}">
      <text>
        <t>[Comentario encadenado]
Su versión de Excel le permite leer este comentario encadenado; sin embargo, las ediciones que se apliquen se quitarán si el archivo se abre en una versión más reciente de Excel. Más información: https://go.microsoft.com/fwlink/?linkid=870924
Comentario:
    Optimización Continua con Aprendizaje Automático: La Inteligencia Artificial analizará las interacciones para mejorar progresivamente su desempeño, adaptándose a las necesidades operativas.</t>
      </text>
    </comment>
    <comment ref="K26" authorId="122" shapeId="0" xr:uid="{B13AA0E4-57BD-4699-9C56-3A3B6FCDF577}">
      <text>
        <t>[Comentario encadenado]
Su versión de Excel le permite leer este comentario encadenado; sin embargo, las ediciones que se apliquen se quitarán si el archivo se abre en una versión más reciente de Excel. Más información: https://go.microsoft.com/fwlink/?linkid=870924
Comentario:
    fonYou dispone soluciones bajo un modelo PaaS (Plataforma como servicio), donde se proporciona alojamiento en una infraestructura cloud que cuenta con un entorno y sistema operativo adecuado para el desarrollo, compilación y despliegue de aplicaciones. Facilitando de esta forma el mantenimiento, disponibilidad, uso eficiente de recursos y capacidad escalable conforme al tráfico recibido.</t>
      </text>
    </comment>
    <comment ref="E27" authorId="123" shapeId="0" xr:uid="{B6D49223-D06C-46FC-A823-C894CF116AC0}">
      <text>
        <t>[Comentario encadenado]
Su versión de Excel le permite leer este comentario encadenado; sin embargo, las ediciones que se apliquen se quitarán si el archivo se abre en una versión más reciente de Excel. Más información: https://go.microsoft.com/fwlink/?linkid=870924
Comentario:
    Permite la integración con múltiples canales de atención, como web, chat, WhatsApp y voz, proporciona flexibilidad para que los técnicos puedan interactuar con la solución
desde diferentes entornos, mejorando la cobertura y la accesibilidad en el soporte en campo.</t>
      </text>
    </comment>
    <comment ref="G27" authorId="124" shapeId="0" xr:uid="{CAA7BE7D-8540-4BE0-8473-F74D672586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Soporte multiplataforma: Whatsapp, Messenger, App móviles y web </t>
      </text>
    </comment>
    <comment ref="H27" authorId="125" shapeId="0" xr:uid="{D9F50B0B-4FFF-47F8-876E-479BA9EBD8E4}">
      <text>
        <t>[Comentario encadenado]
Su versión de Excel le permite leer este comentario encadenado; sin embargo, las ediciones que se apliquen se quitarán si el archivo se abre en una versión más reciente de Excel. Más información: https://go.microsoft.com/fwlink/?linkid=870924
Comentario:
    GlobalHitss presenta una solución basada en inteligencia artificial para la automatización y mejora de la experiencia de los técnicos mediante una línea certificada de WhatsApp.</t>
      </text>
    </comment>
    <comment ref="E28" authorId="126" shapeId="0" xr:uid="{911A7BE4-A10A-450A-BD3F-FD2755F67F3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realizaran sesiones de capacitación específicas adaptadas a cada grupo de interés. Los dueños de procesos participan en talleres estratégicos para entender cómo la automatización impactará en sus áreas y  cómo pueden aprovechar las nuevas funcionalidades. El equipo técnico que soporta las aplicaciones integradas recibe formación técnica especializada sobre la interacción entre los sistemas y la solución propuesta. Para el equipo de backoffice (Nivel 2), se realizan prácticas centradas en la gestión de escalamientos y resolución de casos complejos que no son resueltos por el agente virtual. Los técnicos de campo, como usuarios principales de la solución, reciben capacitación práctica sobre el uso de los asistentes 
virtuales y los procedimientos automatizados. La metodología combina teoría y práctica, utilizando simulaciones de casos reales y documentación detallada.</t>
      </text>
    </comment>
    <comment ref="G28" authorId="127" shapeId="0" xr:uid="{F7BAB4EC-D1CC-4566-8800-4DA9E0CDA57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Manejo del cambio organizacional y capacitación a usuarios finales es responsabilidad de Comcel. • Comcel debe disponer al proyecto 1 técnico de campo asignado al proyecto a tiempo completo ( Entrenamiento del Bot, 3 meses y set de pruebas, check listpredefinido con criterios de aceptación ). </t>
      </text>
    </comment>
    <comment ref="H28" authorId="128" shapeId="0" xr:uid="{9A9F096F-86E7-4BB5-B2E0-ACB3595A77EF}">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el cumplimiento del servicio, HITSS propende por la construcción de un conocimiento estructurado en analítica especializada, capaz de evolucionar con oportunidad y efectividad hacia las tendencias de machine learning y evaluación de impacto y efectividad de los modelos.
Las actividades realizadas por el equipo HITSS serán acordadas con Claro al inicio de cada mes y monitoreadas cada semana, HITSS prestará la consultoría con los conocimientos requeridos para desarrollar los servicios y entregarlos de acuerdo con un plan de trabajo establecido entre el líder del servicio HITSS y Claro.</t>
      </text>
    </comment>
    <comment ref="I28" authorId="129" shapeId="0" xr:uid="{FF277A6E-40CA-4285-BCC4-8F14083BC57F}">
      <text>
        <t>[Comentario encadenado]
Su versión de Excel le permite leer este comentario encadenado; sin embargo, las ediciones que se apliquen se quitarán si el archivo se abre en una versión más reciente de Excel. Más información: https://go.microsoft.com/fwlink/?linkid=870924
Comentario:
    Garantizar acceso a APIs y
documentación técnica</t>
      </text>
    </comment>
    <comment ref="J28" authorId="130" shapeId="0" xr:uid="{B052A5D5-9590-4F34-915A-0D5991C6FE69}">
      <text>
        <t>[Comentario encadenado]
Su versión de Excel le permite leer este comentario encadenado; sin embargo, las ediciones que se apliquen se quitarán si el archivo se abre en una versión más reciente de Excel. Más información: https://go.microsoft.com/fwlink/?linkid=870924
Comentario:
    Capacitación y Acompañamiento:
•
Formación para los equipos técnicos y operativos en el uso eficiente de la herramienta.
•
Documentación de procesos y manuales de soporte.
•
Soporte continuo y mejoras evolutivas para asegurar la estabilidad y escalabilidad del canal.</t>
      </text>
    </comment>
    <comment ref="K28" authorId="131" shapeId="0" xr:uid="{2FD4D06F-0541-42D1-A831-369496AFD2F5}">
      <text>
        <t>[Comentario encadenado]
Su versión de Excel le permite leer este comentario encadenado; sin embargo, las ediciones que se apliquen se quitarán si el archivo se abre en una versión más reciente de Excel. Más información: https://go.microsoft.com/fwlink/?linkid=870924
Comentario:
    6. CAPACITACIÓN Y DOCUMENTACIÓN</t>
      </text>
    </comment>
    <comment ref="L28" authorId="132" shapeId="0" xr:uid="{90435257-A251-498A-8EA0-B66C2577E11A}">
      <text>
        <t>[Comentario encadenado]
Su versión de Excel le permite leer este comentario encadenado; sin embargo, las ediciones que se apliquen se quitarán si el archivo se abre en una versión más reciente de Excel. Más información: https://go.microsoft.com/fwlink/?linkid=870924
Comentario:
    Adereso es una plataforma de atención digital omnicanal que centraliza la gestión de interacciones con clientes desde diferentes canales, como: ➢ WhatsApp </t>
      </text>
    </comment>
    <comment ref="M28" authorId="133" shapeId="0" xr:uid="{E8E505A8-42D2-482F-B2F4-55F4F5B008FF}">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realizará transferencia de conocimiento, esto no incluye formación técnica en las herramientas solicitadas.</t>
      </text>
    </comment>
    <comment ref="E29" authorId="134" shapeId="0" xr:uid="{B5669DAE-8286-4ECE-9141-9F8615829F2C}">
      <text>
        <t>[Comentario encadenado]
Su versión de Excel le permite leer este comentario encadenado; sin embargo, las ediciones que se apliquen se quitarán si el archivo se abre en una versión más reciente de Excel. Más información: https://go.microsoft.com/fwlink/?linkid=870924
Comentario:
    Soporte: 7 * 24 (1 año), ANS para aplicación de misión crítica. (OFSC = WFM)</t>
      </text>
    </comment>
    <comment ref="G29" authorId="135" shapeId="0" xr:uid="{BF951E42-4FC9-469C-BF86-B850CE5447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Robot Nivel 1 (AI - Interacción con técnicos) Monto anual; ¨SaaS Like¨ (incluido soporte y monitoreo 7X24 y ajustes básicos de prompts), tiene una capacidad incluida de hasta 150.000 conversaciones mensuales. Se planea la capacidad del bot para atender hasta 3.000 usuarios/día. Pagos mensuales anticipados a partir del mes 13. </t>
      </text>
    </comment>
    <comment ref="H29" authorId="136" shapeId="0" xr:uid="{44EE572C-AF7B-4BF4-88E1-8C2A88927DB1}">
      <text>
        <t>[Comentario encadenado]
Su versión de Excel le permite leer este comentario encadenado; sin embargo, las ediciones que se apliquen se quitarán si el archivo se abre en una versión más reciente de Excel. Más información: https://go.microsoft.com/fwlink/?linkid=870924
Comentario:
    CLARO es propietaria de los archivos que se encuentran en los computadores y realizará una copia de seguridad y borrado de esta información al finalizar el contrato. Es importante tener en cuenta que el SLA no aplicará cuando se obstaculice la gestión de los proyectos o procesos por parte de CLARO.
CLARO debe garantizar la continuidad de la demanda del servicio de acuerdo con la capacidad de recursos.</t>
      </text>
    </comment>
    <comment ref="J29" authorId="137" shapeId="0" xr:uid="{5A80A594-C0B1-4925-BCD4-D53C464AA5C7}">
      <text>
        <t>[Comentario encadenado]
Su versión de Excel le permite leer este comentario encadenado; sin embargo, las ediciones que se apliquen se quitarán si el archivo se abre en una versión más reciente de Excel. Más información: https://go.microsoft.com/fwlink/?linkid=870924
Comentario:
    6. Soporte y acuerdo de niveles de servicio (SLA)</t>
      </text>
    </comment>
    <comment ref="K29" authorId="138" shapeId="0" xr:uid="{C5ECD56A-0798-4963-BD46-BEC7BF65070E}">
      <text>
        <t>[Comentario encadenado]
Su versión de Excel le permite leer este comentario encadenado; sin embargo, las ediciones que se apliquen se quitarán si el archivo se abre en una versión más reciente de Excel. Más información: https://go.microsoft.com/fwlink/?linkid=870924
Comentario:
    7.2 Soporte técnico 24x7</t>
      </text>
    </comment>
    <comment ref="M29" authorId="139" shapeId="0" xr:uid="{2533D20D-B973-4564-AFCC-ED9CFBECE0B8}">
      <text>
        <t>[Comentario encadenado]
Su versión de Excel le permite leer este comentario encadenado; sin embargo, las ediciones que se apliquen se quitarán si el archivo se abre en una versión más reciente de Excel. Más información: https://go.microsoft.com/fwlink/?linkid=870924
Comentario:
    Anexo Esquema de Soporte IBM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tc={A321B81E-8A82-4AFD-8D12-4B862B249545}</author>
  </authors>
  <commentList>
    <comment ref="H1" authorId="0" shapeId="0" xr:uid="{A321B81E-8A82-4AFD-8D12-4B862B249545}">
      <text>
        <t>[Comentario encadenado]
Su versión de Excel le permite leer este comentario encadenado; sin embargo, las ediciones que se apliquen se quitarán si el archivo se abre en una versión más reciente de Excel. Más información: https://go.microsoft.com/fwlink/?linkid=870924
Comentario:
    En línea con su autoevaluación.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<sst xmlns="http://schemas.openxmlformats.org/spreadsheetml/2006/main" count="1329" uniqueCount="400">
  <si>
    <t>Criterio</t>
  </si>
  <si>
    <t>Respuesta/Indicador</t>
  </si>
  <si>
    <t>Máximo de puntos a evaluar</t>
  </si>
  <si>
    <t>NAE</t>
  </si>
  <si>
    <t>WAVENET</t>
  </si>
  <si>
    <t>ORACLE</t>
  </si>
  <si>
    <t>HITSS</t>
  </si>
  <si>
    <t>BLIPBLIP</t>
  </si>
  <si>
    <t>LARAIGO</t>
  </si>
  <si>
    <t>FONYOU</t>
  </si>
  <si>
    <t>SIXBELL</t>
  </si>
  <si>
    <t>PRONÓSTICA</t>
  </si>
  <si>
    <t>Integrarse con WhatsApp 1 línea Claro te ayuda para técnicos y otra línea de clientes para interactuar con las siguientes funcionalidades:
*Línea autorizada para atención técnicos: # WhatsApp para atención y soporte a técnicos Casos razonamiento (impedimentos OT)
*Validar técnico activo e inicio conversación (Código SAP· OTP): Validar en SSFF y OFSC si el técnico está disponible para dar acceso al canal de servicio.
*Perfilamiento para menú/Submenú: Identificar técnico (planta int., planta ext.) y desplegar menú adecuado
*Consulta datos OT/ servicios y materiales: Consulta tipo OT, cliente, equipos, manuales requeridos.
*Cambiar estados en OFSC: OT: Iniciada, completada, reprogramada y/o cancelada.</t>
  </si>
  <si>
    <t>No Cumple (0 puntos)
Cumple parcialmente (+1 punto)
Cumple totalmente (+1 punto)</t>
  </si>
  <si>
    <t>¿La solución permite resolver el caso de uso? 
*Validar ubicación técnico- Comunicación cliente antes inicio OT: Conectarse a plataformas como Waze/ Maps para notificar al cliente tiempo de llegada técnico. Técnico en sitio, datos técnico y servicio. 
Calcular distancia entre el técnico y el predio. Si está dentro de perímetro inicia OT.</t>
  </si>
  <si>
    <t>¿La solución permite resolver el caso de uso?
*Razonar para inicio OT, reportar incidente: Se comunica con el técnico a la línea de Whatsapp Claro te ayuda (Ya existe) para analizar notas- audios técnico: cliente no contesta, peligroso, lloviendo  OT errónea y mantiene la conversación, permisos de administración y problemas plataformas de red.</t>
  </si>
  <si>
    <t>¿La solución permite resolver el caso de uso?
*Modulación comunicación cliente no contesta: Dispara y recibe respuestas de la línea del Whatsapp del cliente, confirma visita, cancela o solicita reprogramar para informar al técnico como continuar.</t>
  </si>
  <si>
    <t>¿El sistema puede escalar fácilmente en nuevos casos de uso? Entregar estimación de alto nivel para  evolutivos:
Diagnóstico con Xpertrak – OT iniciada (Home Integrity y pathtrack) y/o plataformas FTTH: Extraer datos cuenta matricial, servicio, equipos, analizarlos e informar fallas.</t>
  </si>
  <si>
    <t>¿El sistema puede escalar fácilmente en nuevos casos de uso? Entregar estimación de alto nivel para  evolutivos:
Optimización inventario y ficha materiales: Análisis de los materiales por tipo OT según consumo reportado por los técnicos, sugerir la cantidad de material necesario por data recolectada. Informar CPEs necesarios para la ejecución orden de trabajo. Sugerir elementos de apoyo como escaleras, hombre tercer apoyo, andamios, etc...</t>
  </si>
  <si>
    <t>¿El sistema puede escalar fácilmente en nuevos casos de uso? Entregar estimación de alto nivel para  evolutivos:
Asignación inteligente siguiente OT: Según experiencia del técnico, distancia entre sitios y duración de la visita para optimizar rutas y tiempos. Permisos de administración (horarios laborables, requisitos de instalación (parafiscales cuando sean necesarios).</t>
  </si>
  <si>
    <t>¿El sistema puede escalar fácilmente en nuevos casos de uso? Entregar estimación de alto nivel para  evolutivos:
Gestión OT para todos los segmentos, Consulta alarmas y notas no estructuradas (ITSM) a interpretar para diagnosticar falla y notificar al técnico acciones a realizar. Casos atípicos.</t>
  </si>
  <si>
    <t>¿El sistema puede escalar fácilmente en nuevos casos de uso? Entregar estimación de alto nivel para  evolutivos:
Validar estado zona afectada - fija, Consulta dirección(es) y cuenta(s) afectada(s) y vecino (s) para HFC y FTTH. Tener en cuenta histórico de reportes.</t>
  </si>
  <si>
    <t>¿El sistema puede escalar fácilmente en nuevos casos de uso? Entregar estimación de alto nivel para  evolutivos:
Diagnóstico Xpertrak – fija (prioritario), Consulta gráfica(s) del analizador de espectro sobre nodos RPHY y HFC tomando una imagen en tiempo real de gráfica para dar respuesta.</t>
  </si>
  <si>
    <t>Total puntos</t>
  </si>
  <si>
    <t>Ponderado escala</t>
  </si>
  <si>
    <t xml:space="preserve">¿Utiliza modelos de IA adecuados para el caso de uso (generativa, predictiva, etc.)? </t>
  </si>
  <si>
    <t>¿Permite el entrenamiento con datos propios y ajustes mediante retroalimentación?</t>
  </si>
  <si>
    <t>¿Puede personalizarse sin necesidad de conocimientos técnicos avanzados?</t>
  </si>
  <si>
    <t>¿Incluye herramientas para monitorear precisión, latencia y desempeño del modelo?</t>
  </si>
  <si>
    <t>¿Es independiente de un proveedor cloud específico o permite portabilidad?</t>
  </si>
  <si>
    <t>¿Soporta operación multicanal y multitenant con configuración separada?</t>
  </si>
  <si>
    <t>¿Tiene mecanismos para detectar sesgos o auditar decisiones automatizadas?</t>
  </si>
  <si>
    <t>¿Es escalable ante incrementos de carga, volumenes de datos y usuarios concurrentes?</t>
  </si>
  <si>
    <t>¿Implementa gobernanza técnica para trazabilidad y control del ciclo de vida del modelo?</t>
  </si>
  <si>
    <t>¿Permite, capacidades analíticas filtrado, extracción de metadata, análisis automatizado, análisis predictivo, análisis de causas raíz, detección de malas prácticas y análisis en tiempo real,?</t>
  </si>
  <si>
    <t>Puede procesar y correlacionar texto, imágenes, tablas y escenarios para generar insights de negocio.</t>
  </si>
  <si>
    <t>Soporta la ingestión y análisis de datos de diversas fuentes, incluyendo documentos escaneados (OCR).</t>
  </si>
  <si>
    <t>Tiene capacidades avanzadas de NLP para comprender consultas en lenguaje natural y extraer información relevante de grandes volúmenes de texto.</t>
  </si>
  <si>
    <t>Identifica patrones, correlaciones y anomalías en datos multimodales para facilitar la toma de decisiones.</t>
  </si>
  <si>
    <t>Se conecta con APIs internas y externas para extraer y procesar información en tiempo real.</t>
  </si>
  <si>
    <t>La arquitectura es compatible con soluciones basadas en recuperación aumentada generativa (RAG) y almacenamiento en la nube.</t>
  </si>
  <si>
    <t>Puede acceder a bases SQL y NoSQL sin necesidad de transformaciones manuales.</t>
  </si>
  <si>
    <t>Se conecta con herramientas como Salesforce, SAP, Zendesk, Genesys, entre otras.</t>
  </si>
  <si>
    <t>Ofrece configuraciones para distintos tipos de usuarios dentro del negocio.</t>
  </si>
  <si>
    <t>Aprende de interacciones previas y ajusta respuestas de manera dinámica.</t>
  </si>
  <si>
    <t>Garantiza respuestas rápidas, incluso bajo alta demanda.</t>
  </si>
  <si>
    <t>Puede escalar de manera rapida para soportar más usuarios sin degradación del rendimiento.</t>
  </si>
  <si>
    <t>Permite registrar y auditar las decisiones generadas por la IA para garantizar transparencia.</t>
  </si>
  <si>
    <t>Implementa control de versiones y permite realizar rollback en caso de errores.</t>
  </si>
  <si>
    <t>Optimiza el consumo de recursos computacionales para reducir costos</t>
  </si>
  <si>
    <t>Soporta consultas multicanal (WhatsApp, IVR, web, apps) y mantiene niveles óptimos de latencia y precisión.</t>
  </si>
  <si>
    <t>¿El proveedor contempla la transferencia de conocimiento, capacitación y entrega de documentación técnica como parte del servicio?</t>
  </si>
  <si>
    <t>¿El proveedor detalla el plan de soporte 7x24 que incluya niveles de escalamiento, SLA por tipo de incidente y personas?</t>
  </si>
  <si>
    <t>Descripción de solución ajustada al negocio y experiencia en este tipo de proyectos</t>
  </si>
  <si>
    <t>Diagrama y arquitectura lógica entre solución y arquitectura conceptual del Operador</t>
  </si>
  <si>
    <t>Explicación arquitectura, hardware/software, TO-BE y transición</t>
  </si>
  <si>
    <t>Arquitectura modular y desacoplada</t>
  </si>
  <si>
    <t>Diagrama de integración de red y documento para revisión área redes Claro</t>
  </si>
  <si>
    <t>Soporte local y/o regional</t>
  </si>
  <si>
    <t>Implementaciones exitosas en operadores de telecomunicaciones</t>
  </si>
  <si>
    <t>Referencias de operadores y volúmenes manejados</t>
  </si>
  <si>
    <t>Certificaciones ISO, CMMI u otras</t>
  </si>
  <si>
    <t>Metodología de desarrollo con altos estándares</t>
  </si>
  <si>
    <t>Confidencialidad de información</t>
  </si>
  <si>
    <t>Plan de proyecto detallado y milestones</t>
  </si>
  <si>
    <t>Pruebas de puesta en producción</t>
  </si>
  <si>
    <t>Acompañamiento post-producción ("Baby Sitting")</t>
  </si>
  <si>
    <t>Anexo técnico que soporte las respuestas</t>
  </si>
  <si>
    <t>Frente evaluación</t>
  </si>
  <si>
    <t>Componente</t>
  </si>
  <si>
    <t>Estándares  - Arquitectura e ingeniería</t>
  </si>
  <si>
    <t xml:space="preserve">Propuesta técnica </t>
  </si>
  <si>
    <t>Una descripción de porque su solución se ajusta al negocio necesario para el operador y su experiencia en cumplir este tipo de requerimientos.</t>
  </si>
  <si>
    <t>Descripción / diagrama que muestre la arquitectura de solución propuesta y el mapa lógico entre la arquitectura propuesta y la arquitectura conceptual del Operador.</t>
  </si>
  <si>
    <t>Descripción y explicación de la arquitectura propuesta incluyendo:
1. Anexo Técnico
2. Arquitectura de hardware y software (TO-BE y en caso de requerir transiciones también deben estar incluidas estas arquitecturas)</t>
  </si>
  <si>
    <t>Descripción de la funcionalidad de cada componente de la solución, que demuestre en la propuesta la implementación de una arquitectura modular y desacoplada.</t>
  </si>
  <si>
    <t>Se debe proveer a Claro con un diagrama y documento que permita conocer el modelo de integración de la red de datos en la que estará instalado el sistema con la red de Claro.  Este documento será revisado por el personal del departamento de redes de claro Colombia</t>
  </si>
  <si>
    <t>Compromiso del vendedor para dar soporte local y/o regional, de ser necesario</t>
  </si>
  <si>
    <t>El Proveedor debe comprobar implementaciones exitosas en empresas de telefonía demostrando la capacidad del producto en operadores de diferentes tamaños.</t>
  </si>
  <si>
    <t>El Proveedor deberá incluir referencias de los operadores que actualmente se encuentran utilizando su solución, indicando el perfil del operador y los volúmenes manejados.</t>
  </si>
  <si>
    <t>El Proveedor deberá presentar las certificaciones con que cuente llámese: ISO, CMMI a fin de que se tenga una idea de los procesos de control para el despliegue y soporte del sistema.</t>
  </si>
  <si>
    <t>El Proveedor deberá acreditar que aplica una metodología de desarrollo con altos estándares de calidad que le permitirán a la empresa contar con una solución probada, creada y diseñada con políticas de ingeniería de software, procesos de pruebas unitarias, procesos de prueba de integración y que cuente con una metodología de implantación.</t>
  </si>
  <si>
    <t>El Proveedor deberá dar cumplimiento estricto a la confidencialidad de la información suministrada durante el proceso de invitación, contratación e implementación.</t>
  </si>
  <si>
    <t>El licitador deberá enviar un plan de proyecto detallado claramente para identificar todas las actividades más importantes y milestones.</t>
  </si>
  <si>
    <t>Posterior a las intervenciones Claro-Proveedor, ejecutaran pruebas de puesta en producción.</t>
  </si>
  <si>
    <t>El proveedor deberá permanecer vigilando la plataforma, posteriores a que no existan problemas de implementación. "Baby Sitting". Presentar servicio por un período no inferior a 3 meses, después del paso a producción. Esta condición no exime al proveedor de ofrecer el modelo de soporte en sitio 7x24</t>
  </si>
  <si>
    <t>En el anexo técnico se debe soportar cada respuesta. Este anexo lo elabora el proveedor.</t>
  </si>
  <si>
    <t xml:space="preserve">  Solucion y arquitectura</t>
  </si>
  <si>
    <t>Modulos</t>
  </si>
  <si>
    <t>Modulo de mediador de solicitudes de servicios, con los conectores para recibir el llamado de diferentes protocolos. Como mínimo debe recibir los siguientes protoclos: Web Service, Servicios Rest Full y WSDL, SIP y SIP sobre TLS, HTTP y HTTPS, Web Sockets, Trafico TCP. SMPP, USSD, Bases de datos (Oracle, SQL, MySQL). Debe permitir enriquecer la solicitud antes de enviarla al proveedor del servicio. Con las versiones utilizadas en claro (por ejemplo la versión de SOAP)</t>
  </si>
  <si>
    <t>Modulo de mediador de respuestas de servicios, con los conectores para recibir el llamado de diferentes protocolos. Como mínimo debe recibir los siguientes protocolos: Web Service, Servicios Rest Full y WSDL, SIP y SIP sobre TLS, HTTP y HTTPS, Web Sockets, Trafico TCP. SMPP,  Bases de datos (Oracle, SQL, MySQL).</t>
  </si>
  <si>
    <t>Modulo de enrutamiento para centralizar el proceso común del enrutamiento, como: registro cronológico, logs, supervisión, monitoreo y gestión de eventos de servicios, validación de todos los mensajes de solicitud y respuesta. De tal forma que que elimine la necesidad de repetir el desarrollo de ese proceso entre cada peticionario y proveedor de registro.</t>
  </si>
  <si>
    <t>Modulo de seguridad, se deben supeditar al cumplimiento de las políticas de claro Colombia</t>
  </si>
  <si>
    <t>Modulo  IA</t>
  </si>
  <si>
    <t>La aplicación puede hacer  análisis avanzados y aprendizaje automático</t>
  </si>
  <si>
    <t>Modulo IA</t>
  </si>
  <si>
    <t>La aplicación puede procesar datos no estructurados como texto, imágenes o voz</t>
  </si>
  <si>
    <t>La IA puede  comprender y generar lenguaje humano de manera efectiva</t>
  </si>
  <si>
    <t>La aplicación tiene capacidad tiene de hacer predicciones o recomendaciones basadas en datos históricos</t>
  </si>
  <si>
    <t>La aplicación tiene comprensión y toma de decisiones similares a las humanas</t>
  </si>
  <si>
    <t>La IA puede identificar patrones o anomalías en los datos</t>
  </si>
  <si>
    <t>La aplicación puede tener acceso a datos etiquetados para entrenar modelos de IA</t>
  </si>
  <si>
    <t>La aplicación puede hacer interacción natural y efectiva con los usuarios a través de chatbots o asistentes virtuales</t>
  </si>
  <si>
    <t>La aplicación puede adoptar el proceso a las preferencias y necesidades individuales de los usuarios</t>
  </si>
  <si>
    <t>La aplicación puede escalar la implementación de modelos de IA a medida que crece</t>
  </si>
  <si>
    <t>La aplicación tiene la capacidad de realizar conversiones de text to speech o speech to text</t>
  </si>
  <si>
    <t>Entrenamiento y Actualizaciones del Modelo de IA:
Con qué frecuencia se actualizan los modelos de IA y cómo se garantiza la privacidad de los datos durante el entrenamiento.</t>
  </si>
  <si>
    <t>Explicabilidad y Transparencia:
El proveedor debe explicar cómo funcionan sus modelos de IA y cómo llegan a sus conclusiones.</t>
  </si>
  <si>
    <t xml:space="preserve">Escalabilidad y Rendimiento:
El sistema pueda manejar grandes volúmenes de datos sin perder rendimiento. Debe justificar respuesta </t>
  </si>
  <si>
    <t>Integración con Sistemas Existentes:
El sistema debe integrarse  fácilmente con tus plataformas actuales, como CRM y sistemas de centros de contacto.</t>
  </si>
  <si>
    <t>Seguridad y Privacidad de Datos:
El proveedor cumple con las normativas de protección de datos relevantes y que los datos están seguros.</t>
  </si>
  <si>
    <t>Opciones de Personalización:
El sistema debe poder personalizar para adaptarlo a tus necesidades específicas de la compañia.</t>
  </si>
  <si>
    <t>Análisis de Discurso: El sistema debe ser capaz de analizar el discurso para entender la estructura y el contenido de la conversación.</t>
  </si>
  <si>
    <t>Análisis de Voz</t>
  </si>
  <si>
    <t>Precisión de la Transcripción
*Tiene nivel de presicion en la transcripcion
*Que nivel de precisión tiene la solucion .
* adjunte datos que reflejen esta transcripcion según nuestras necesidades específicas, como diferentes idiomas, acentos y niveles de ruido de fondo.</t>
  </si>
  <si>
    <t>Soporte de Idiomas:
-el proveedor debe tener soporte todos los idiomas y dialectos relevantes para tu negocio.</t>
  </si>
  <si>
    <t>Diarización de Hablantes:
*La capacidad del sistema para distinguir entre diferentes hablantes en una conversación.</t>
  </si>
  <si>
    <t>Análisis de Sentimiento:
capacidad para detectar emociones complejas y matizadas, más allá de lo positivo o negativo.</t>
  </si>
  <si>
    <t>Detección y Categorización de Temas:
El sistema debe poder identificar y categorizar temas clave de manera precisa.</t>
  </si>
  <si>
    <t>Detección de Emociones:
Sobre la gama de emociones  el sistema que puede detectar y su precisión.</t>
  </si>
  <si>
    <t>Análisis en Tiempo Real vs. Por Lotes:
El sistemas Debe poder hacer análisis en tiempo real o si el procesamiento por lotes.</t>
  </si>
  <si>
    <t>Análisis de Sentimiento:
*Pregunta sobre la capacidad para detectar emociones complejas y matizadas, más allá de lo positivo o negativo.</t>
  </si>
  <si>
    <t>Clasificación de Llamadas: El sistema debe ser capaz de clasificar llamadas en diferentes categorías, como ventas, servicio al cliente, etc.</t>
  </si>
  <si>
    <t>Solucion y arquitectura</t>
  </si>
  <si>
    <t>El proveedor debe especificar la estrategia que utilizará para la integración con protocolos nuevos y no comunes.</t>
  </si>
  <si>
    <t>El vendedor deberá describir como se encuentra la arquitectura de la solución priorizando los servicios orientados al negocio y no a la plataforma técnica.</t>
  </si>
  <si>
    <t xml:space="preserve">El vendedor deberá asegurar el re-intento de la ejecución de una transacción en caso de falla. </t>
  </si>
  <si>
    <t xml:space="preserve">La propuesta de solución, debe tener definidos los SLA para la ejecución del proyecto. </t>
  </si>
  <si>
    <t xml:space="preserve">En el anexo técnico se debe indicar la disponibilidad que soporta la solución (ejemplos 24/7, 99.9% disponibilidad al año). También debe indicar el tiempo de recuperación. </t>
  </si>
  <si>
    <t>El sistema deberá soportar diferentes dominios de red para segregar el tráfico de red entre el tipo de uso tal como (y que sean configurables, es decir, agregar otro canal):
a) transacciones en tiempo real
b) transacciones de respaldo de datos
c) transacciones de administración
d) transacciones de redundancia de desastres</t>
  </si>
  <si>
    <t>La solución debe incluir todas las licencias del software propio como de terceros de la versión OS que contengan todas las funcionalidades y el soporte necesarios.</t>
  </si>
  <si>
    <t>Estas licencias estarán discriminadas para poder utilizar las licencias con las que Claro ya cuente.</t>
  </si>
  <si>
    <t>La solucion deberá soportar Plataformas de visualización y monitoroe, On line y Off line.</t>
  </si>
  <si>
    <t>El proveedor deberá describir que es el servicio de ciclo de vida del SO y cual es la estrategia de alineación con la ultima versión de OS. Es decir, la solución debe ser actualizable a las ultimas versiones de infraestructura acorde a la capacidad de actualización de Claro Colombia.</t>
  </si>
  <si>
    <t>El sistema deberá utilizar un RDBMS, sistema de gestión de base de datos relacional acorde a la políticas de infraestructura de Claro Colombia.</t>
  </si>
  <si>
    <t>Incluir la estrategia de alineación a las actualizaciones de las versiones de base de datos.</t>
  </si>
  <si>
    <t xml:space="preserve">Asegurar el desempeño requerido, el cual debe ser de el número de TPS en hora pico (puede ser en cualquier momento) acordes a la previa evaluación del sizing de la solución. </t>
  </si>
  <si>
    <t>La solución debe incluir todas las especificaciones del hardware propio como de terceros que contengan todas las funcionalidades y el soporte necesarios.</t>
  </si>
  <si>
    <t>Estas especificaciones estarán discriminadas para poder utilizar las especificaciones con las que Claro ya cuente (reutilización de hardware).</t>
  </si>
  <si>
    <t>Debe soportar mecanismos que permitan proporcionar la capacidad de conciliar los datos, es decir, entregando la información que se requiera para los procesos de conciliación.</t>
  </si>
  <si>
    <t>El vendedor deberá proporcionar una lista de software ya sea propio o de una tercero que sea mandatorio para la operación.</t>
  </si>
  <si>
    <t>Todas las licencias de sofware utilizadas para la correcta operación deberán ser incluidas.</t>
  </si>
  <si>
    <t>Esta lista debe estar discriminada a detalle de tal forma que puedan ser utilizadas las licencias con las que Claro Colombia ya cuenta.</t>
  </si>
  <si>
    <t>La solución debe incluir una estructura de software con un diseño modular que permita obtener flexibilidad, robustez y facilidad para pruebas.</t>
  </si>
  <si>
    <t>La solución debe soportar el cambio de parámetros sin necesidad de manejar reinicio.</t>
  </si>
  <si>
    <t>Considerar también la reversa (rollback) de cambios y/o ajustes sobre versiones productivas.</t>
  </si>
  <si>
    <t xml:space="preserve">El proveedor debe demostrar en un documento que va a implementar las políticas de seguridad de Claro Colombia. </t>
  </si>
  <si>
    <t>La solución debe ser capaz de trabajar bajo esquemas de seguridad utilziando protoclos SSL o certificadfos digitales.</t>
  </si>
  <si>
    <t>Debe validarse si este sistema es misional y deba contenertse dentro de las aplicaciones SOX de la compañía y auditoria externa (ISAE, ISO ETC)</t>
  </si>
  <si>
    <t>La solución se debe poder implementarse en cluster de balance de carga.</t>
  </si>
  <si>
    <t>La solución se debe poder implementarse con un esquema de disponibiliad no solo local sino también en un esquema de geolocalización (Triara, Venecia)</t>
  </si>
  <si>
    <t>El sistema deberá ofrecer mecanismos especiales para controlar situaciones de sobre carga de interfaces externas e internas. El sistema deberá garantizar condiciones de carga pesada de trabajo en condiciones de alta demanda y tener mecanismos de control para evitar fallas en el sistema y servicio. Considerar los siguientes tipos de trafico:
- Masivos (procesos batch).
- Regular (procesos normales).
- Diferido (programado al futuro).
- Periódicas (recurrentes).</t>
  </si>
  <si>
    <t>Los parámetros de seguridad deben ser configurables para toda la plataforma. Todos los métodos deben soportar SSL o cifrado compatible con las plataformas de CLARO.</t>
  </si>
  <si>
    <t>La solución debe soportar la protección de la información cifrado, masking, etc).</t>
  </si>
  <si>
    <t>Los passwords deben poder ser cambiados en toda la plataforma de forma simple (ej: rutinas sobre los blades). Debe contemplasrse la integarcion con el OIM de CLARO para la centralización tanto de usuarios como perfiles de usuarios.</t>
  </si>
  <si>
    <t>Considerar sistema operativo y plataformas que forman parte de la solución. Ejemplo. Base de datos, servidores de aplicación, Balanceadores, etc . Tener presente que a nivel de DB estas deben ser redundantes tanto local como remotamente. (Triara – Venecia etc.)</t>
  </si>
  <si>
    <t>Los usuarios deben tener distintos niveles de acceso según sus actividades, manejo de roles y perfiles. Debe integrasre con el OIM de seguridad inforamtica y contemplar la compeljidad de contraseñas etc</t>
  </si>
  <si>
    <t>El sistema debe tener logs de accesos. Debe contemplarse la integración con el SIEM de CLARO</t>
  </si>
  <si>
    <t>A nivel de Seguridad de la Red, Los puertos no utilizados por la solución deben permanecer cerrados. NO se pueden utilizar puertos ni usuarios por defecto</t>
  </si>
  <si>
    <t>Debe existir el manejo de llaves entre envío y recepción de reportes. Esquema de cifrado bajo SSL o algún metod de cifrado soportado por calro y sus legados.</t>
  </si>
  <si>
    <t>El sistema deberá mantener la seguridad relacionada con el historial (por ejemplo, utilizar registros de actividad de al menos siete días). Este periodo debe ser configurable.</t>
  </si>
  <si>
    <t>Se debe contar con un manual o documento técnico para utilizar y aplicar en caso de un desastre tanto local como remoto y sus certificaciones.</t>
  </si>
  <si>
    <t>Debe existir un ambiente de QA o desarrollo que permita a los diferentes legados realizar sus desarrollos sin impactar la operacion diaria.</t>
  </si>
  <si>
    <t>Para transferencia de datos sensibles, se debe utilizar SSH, VPN y en general deberá acogerse a la política de seguridad de información de Claro Colombia.</t>
  </si>
  <si>
    <t>La solución debe incluir al concepto SINGLE SIGN ON.</t>
  </si>
  <si>
    <t>El sistema deberá estar instalado con los parches de software de seguridad más recientes y mejorados.</t>
  </si>
  <si>
    <t>El sistema deberá proporcionar el hardening del sistema operativo y del software, por ejemplo, deshabilitar todos los procesos, servicios y puertos que no se utilicen por razones de seguridad.</t>
  </si>
  <si>
    <t>El sistema debe proporcionar gestión de la autorización para toda la solución.</t>
  </si>
  <si>
    <t>El sistema debe proveer un acceso único en toda la solución.</t>
  </si>
  <si>
    <t>El sistema debe proporcionar herramientas de actualización uniforme para toda la solución</t>
  </si>
  <si>
    <t>El sistema de reportes debe proporcionar
Tarea de extracción de datos, la cual puede ser realizada por:
a) Ejecutar el programa externo, incluyendo comandos del sistema operativo, programa de terceros y programas desarrollados.
b) Procedimiento almacenado.
c) Transferencia de archivo que sean soportados en diferentes formatos según se requiera.
d) Interfaz Web.
e) Periodicidad en los reportes y soportar el envió vía correo electrónico.</t>
  </si>
  <si>
    <t>Reintentar debido a error: El sistema puede reintentar una tarea en caso de que falle debido a una falla en la red. El tipo de error, los intentos y el intervalo de re-intento deben ser configurables.</t>
  </si>
  <si>
    <t>El sistema debe contar con capacidad de gestión de prioridad de tareas.</t>
  </si>
  <si>
    <t>El sistema de reportes debe proporcionar la gestión de la programación del tiempo y permitir al operador establecer la hora de inicio de la tarea. Su tiempo de ejecución debe basarse en la hora.</t>
  </si>
  <si>
    <t>El sistema de reporte debe permitir la transformación de datos y que esta transformación sea configurable. Manejo de tablas que permitan traducir información nativa de la red o de otros elementos de la solución para facilitar la operación y Gestión de la solución,</t>
  </si>
  <si>
    <t>Los usuarios pueden ver, exportar, ordenar y resumir los resultados de consulta y filtrar los resultados de consulta al cargar el criterio de búsqueda.</t>
  </si>
  <si>
    <t>El sistema debe proporcionar el resumen del reporte de activación diaria por sesión.</t>
  </si>
  <si>
    <t>El sistema debe proporcionar el reporte de trafico de hora pico.</t>
  </si>
  <si>
    <t>Permitir que el o los reportes puedan verse periódicamente, el cual puede generarse de forma diaria, semanal o mensual.</t>
  </si>
  <si>
    <t>Los usuarios pueden exportar como mínimo reportes a archivos PDF, XLS, o HTML.</t>
  </si>
  <si>
    <t>El sistema (request system) deberá almacenar logs de todas las actividades y tareas realizadas tanto manual como automáticamente. Estos logs debe ser recuperables con una funcionalidad de búsqueda por filtros. Estos logs deberán ser almacenados al menos por 6 meses. Este tiempo deberá ser configurable.</t>
  </si>
  <si>
    <t>Indicar la estrategia para Manejo Adecuado de Sesiones. Ejemplo: Uso de Pool de Conexiones para BD no ilimitado, Liberación Periódica de Recursos, Cierre de Sesiones TCP, Cierre de DBlinks, Cierre de Cursores y Evitar uso indiscriminado de cursores.</t>
  </si>
  <si>
    <t>Indicar la estrategia para manejo adecuado de memoria. Ejemplo: Uso adecuado de objetos Java para hacerlos elegibles para el Garbage Colector destruyéndolos y anulándolos cuando ya no necesiten ser utilizados, Refrescar periódicamente la sesión sin perder transacciones.</t>
  </si>
  <si>
    <t>Indicar la estrategia para Bitacorización y Logueo útil para ROLES funcionales y de IT.</t>
  </si>
  <si>
    <t>Ejemplo: Uso de Niveles de Log -debug, infor, warning, error.</t>
  </si>
  <si>
    <t>Uso de MDC (Mapped Diagnostic Context) de log4j.</t>
  </si>
  <si>
    <t>Se debe incluir los siguientes elementos en el MDC</t>
  </si>
  <si>
    <t>ID de Transacción generado Referencia (Por ejemplo el teléfono del abonado o número de cuenta) Tipo de Transacción, Manejo Adecuado de Mensajes y Códigos de Error.</t>
  </si>
  <si>
    <t>Toda implementación de transacción debe contar con un set de códigos y mensajes de error que describan la situación real de problema que se está presentando.  Cada escenario diferente de problema debe tener su código específico</t>
  </si>
  <si>
    <t>Indicar la estrategia para uso adecuado del formato de Logs, incluir entre otros:
- Fecha.
- Nivel de Log.
- ID de transacción.
- Tipo de transacción.
- Método.
- Mensaje de log.
- Tiempo de transacción en milisegundos.</t>
  </si>
  <si>
    <t>Indicar la estrategia para evitar impresión en el log de errores controlados.  Solo se debe imprimir el stack trace cuando se genera una situación de problema que requiere ser revisado</t>
  </si>
  <si>
    <t>Indicar la estrategia para manejo de Failover:
- Selección automática de la ruta alterna en caso de problemas en la ruta principal.
- Switcheo inteligente de la ruta alterna a principal en caso de error funcional o técnico.</t>
  </si>
  <si>
    <t>Indicar la estrategia para configuración dinámica de propiedades de la  aplicación.
Los cambios a las configuraciones deben tomar efecto inmediatamente “en caliente” sin necesidad de reinicio de la aplicación, del contenedor o nodo.</t>
  </si>
  <si>
    <t>Indicar la estrategia para Modo de Ejecución de la Transacción:
- Sincrono.
- Asincrono.
- Hibrido.</t>
  </si>
  <si>
    <t>Indicar la estrategia para Medición y Alerta Automatizada del índice de desempeño y calidad de la aplicación transaccional. Uso de Panel de Calidad para incorporar los indicadores.</t>
  </si>
  <si>
    <t>API de Integración. El sistema o plataforma externa debe contar con una interfaz de comunicación que provea un protocolo con estándar abierto de tal forma que las aplicaciones de Claro puedan comunicarse con dicho sistema de forma ágil, eficiente y sin errores.</t>
  </si>
  <si>
    <t xml:space="preserve">El protocolo de comunicación requerido sería preferiblemente Servicios Web con estándar SOAP o REST. </t>
  </si>
  <si>
    <t>Proveer mecanismo de reverso de transacciones.</t>
  </si>
  <si>
    <t>Mediante la interfaz de comunicación o API del sistema. debe ser posible reversar transacciones anteriormente aplicadas, si aplica.</t>
  </si>
  <si>
    <t>Esta funcionalidad es necesaria ya que en ciertas ocasiones la lógica de negocio de la empresa requiere que en caso de errores se deje  el estatus que tenía antes de aplicar la transacción.</t>
  </si>
  <si>
    <t>Permitir la generación de trace por subscriptor.</t>
  </si>
  <si>
    <t xml:space="preserve">Es necesario que el sistema provea herramientas que faciliten la tarea de “troubleshooting”, una de las principales necesidades en este ámbito es la generación de trace bajo demanda y por suscriptor. </t>
  </si>
  <si>
    <t>Esta funcionalidad sería utilizada para revisar toda la información de la sesión del usuario paso a paso y para detectar exactamente donde esta el problema.</t>
  </si>
  <si>
    <t>Procesos de Diagnóstico Automático. Con el objetivo de poder detectar rápidamente causales de problemas en el servicio que brinda la aplicación es necesario que el sistema cuente con rutinas automáticas de diagnóstico general, el resultado de las rutinas de diagnóstico debe listar los requisitos de operación normales del sistema y su estado actual. Un ejemplo del resultado de la rutina podría ser.
- Consistencia de Datos de Configuración. OK
- Servicios y Procesos automáticos Activos. OK
- Estado de rotación de logs. OK
- Estado de tablespaces. OK
- Estado de File Systems. OK
- Estado de Fuentes de Datos. OK
- Alarmas activadas. OK
- Otros.</t>
  </si>
  <si>
    <t>En caso de que uno de los requisitos de operación no este cubierto la rutina debe mostrar el error detectado.</t>
  </si>
  <si>
    <t>Procesos de auditoría. Se requiere que los módulos del sistema (en los caso que aplique) cuenten con procesos que permitan realizar una evaluación o auditoria automatizada que permita generar un log o reporte de inconsistencias en la BD, errores en la aplicación de alguna promoción, errores en los datos, información ilógica, etc.</t>
  </si>
  <si>
    <t xml:space="preserve">EL objetivo es lograr que las rutinas de auditoria se ejecuten periódicamente (por ejemplo semanalmente) de tal forma que se apliquen los correctivos necesarios para eliminar dichos problemas o en su defecto reportar los casos de “bugs” de aplicación al proveedor. </t>
  </si>
  <si>
    <t>Autoconciliación. Una vez detectados los problemas de inconsistencias en el punto anterior el sistema debe estar en capacidad de corregir los errores en los datos de forma automática (autoconciliación) y emitir un informe de lo actuado.</t>
  </si>
  <si>
    <t>El objetivo es no solo detectar los problemas de forma automática sino aplicar los correctivos en los datos de forma automática.  El informe final sería utilizado para aplicar los correctivos de fondo para que el problema no se vuelva a presentar.</t>
  </si>
  <si>
    <t>Balanceo de Carga y Capacidad Escalable horizontalmente. Es necesario que el sistema permita el escalamiento de capacidad de TPSs (Transacciones Por Segundo) mediante la inclusión de nuevos servidores en cada capa de la aplicación.  En caso de falta de capacidad se debe poder incluir un nuevo equipo junto al equipo que actualmente esta brindando servicios y dividir la carga de procesamiento para eliminar la congestión del servicio.</t>
  </si>
  <si>
    <t>Este requisito exige que la aplicación pueda distribuir su carga de procesamiento en 2 o más equipos o instancias con el objetivo de permitir a claro Colombia aplicar arquitectura escalable horizontalmente y no verticalmente por ser más costosa y compleja.</t>
  </si>
  <si>
    <t>Extracción de información e interfaz de consulta. El sistema debe contar con una interfaz que permita consultar y extraer información relevante del sistema de forma masiva.  Por ejemplo la lista de subscriptores que cumplen ciertos perfiles, lista de planes de servicio y su configuración, reporte de la configuración global del sistema, etc.</t>
  </si>
  <si>
    <t>Capacidad de Atención de 5 Tipos de Demanda
1. REGULAR.  Transacciones Eventuales de los Usuarios. Escenario normal de operación.
2. MASIVA.   Transacciones en lote, por ejemplo 10000 cambios de plan enviados por un usuario del sistema.
3. EXCLUSIVA (O RESERVADA). (Infraestructura disponible solo para la transacción emergente (“carril para ambulancias”)).  Se usa este modo en los casos en los cuales se quiere dar soporte a iniciativas emergentes importantes , por ejemplo una promoción estratégica solicitada por el Presidente de la Empresa.
4. DIFERIDA: Transacciones que se necesita procesar con fecha futura.
5. RECURRENTE o PERIODICA:  Transacciones que deben ejecutarse con periodicidad definida por ejemplo mensual, semanal, etc</t>
  </si>
  <si>
    <t>El proveedor debe especificar la estrategia que utilizará para el procesamiento de procesos batch</t>
  </si>
  <si>
    <t>Monitoreo BAM de actividad de interfaces. Para identificar problemas de salud en las interfaces de la arquitectura, por ejemplo delays  en la solución.</t>
  </si>
  <si>
    <t>Manejo de Mensajes Personalizables</t>
  </si>
  <si>
    <t>Los codigos de error deben poder configurarse .  Deben existir 3 niveles:
1. MENSAJE_USUARIO_FINAL. Lo define LEGAL. No SIS.
2. MENSAJE_FRAMEWORK. Por ejemplo "Transacción Exitosa"
3. MENSAJE_TECNICO. "Successful". Lo que la plataforma diga</t>
  </si>
  <si>
    <t xml:space="preserve">Reintentos sincrónicos , asincrónicos e híbridos.  </t>
  </si>
  <si>
    <t xml:space="preserve">
Incluyendo tiempo en milisegundos del re-intento. Y Máximo de re-intentos. Para poder asegurar que la transacción se realice con éxito en las plataformas destino.</t>
  </si>
  <si>
    <t xml:space="preserve">
Aprovisionamiento Secuencial y Paralelo en las Plataformas</t>
  </si>
  <si>
    <t xml:space="preserve">
Debe ser posible Aprovisionar en las plataformas paso a paso de forma secuencial o con aprovisionamiento tipo split.  Este último representa un modelo de aprovisionamiento paralelo, es decir que los datos de un mismo suscriptor viajan en paralelo a N plataformas.</t>
  </si>
  <si>
    <t>La solución debe soportar los siguiente:
-Segmentación de la base de datos (particionamiento). Se debe contar con una rutina del proveedor para el mejoramiento de los registros.
-ILM (ciclo de vida de la información).
-Auditorias.</t>
  </si>
  <si>
    <t>La solución debe proporcionar ambientes de desarrollo y testing, incluyendo refrescamientos periódicos.</t>
  </si>
  <si>
    <t>La solución debe soportar la actualización del SW/HW sin corte de servicio.</t>
  </si>
  <si>
    <t>La solución debe soportar el cumplimiento de las normativas regulatorias de Colombia y debe mantenerse actualizada con los cambios que solicite la autoridad regulatoria.</t>
  </si>
  <si>
    <t>Reprocesamiento y Reinyeccion de transacciones. El sistema debe permitir que en el caso de problemas funcionales o técnicos con las transacciones, sea posible reinyectarlas al sistema o reprocesarlas de tal forma que se garantice su procesamiento. Esta característica deberá ser configurable dependiendo al tipo de transacción.</t>
  </si>
  <si>
    <t>La solución debe soportar multilenguaje. Se espera el español como lenguaje predeterminado, en especial para las GUI.</t>
  </si>
  <si>
    <t>Esquema de Alto Nivel:</t>
  </si>
  <si>
    <t>Mediación (Midleware)</t>
  </si>
  <si>
    <t>Mediación</t>
  </si>
  <si>
    <t>El proveedor debe acogerse a las políticas de midleware de Claro Colombia.</t>
  </si>
  <si>
    <t xml:space="preserve">Con el diseño SOA, se debe utilizar el ESB como solución middleware estándar. Debe utilizar enfoques por capas para categorizar la granularidad y funcionalidad de servicios expuestos. Los servicios, sistemas y procesos son física y lógicamente separados de las aplicaciones de la empresa vía ESB y el usuario podría utilizar los servicios que están más cerca de la vista de negocio en vez de la vista IT de la empresa. </t>
  </si>
  <si>
    <t xml:space="preserve">La solución debe utilizar ESB para proporcionar una infraestructura de servicio común que pueda ser compartida y reutilizada por consumidores y proveedores de servicio. Los consumidores del servicio podrían ser back-end, front-end, clientes, aplicaciones workflow así como otras aplicaciones internas. ESB ayudará a encapsular la funcionalidad de aplicaciones específicas en una interfaz para aplicaciones non-SOA y proporcionar interfaces estándar con protocolos selectivos estándar y objetos de negocio comunes que estén definidos y puedan ser compartidos en toda la empresa. </t>
  </si>
  <si>
    <t>Deberá ser una integración basada en estándares de integración centrales que incluyen un servicio empresarial y una plataforma de servicios web (SOAP/REST) utilizados para conectar aplicaciones dispersas y datos con poca programación, que soporte un elevado nivel de configuración.</t>
  </si>
  <si>
    <t>Deberá soportar balanceo de carga, enruteamiento, y configuraciones de tolerancia de fallas que juntas eliminen "single-point-of-failures", de manera automática&amp;configurable. Por favor especificar que mecanismos de enrutamiento y balanceo soporta.</t>
  </si>
  <si>
    <t xml:space="preserve">Necesitará proporcionar una conectividad entre las aplicaciones finales y un sistema de integración ESB, en cualquier ambiente (producción, desarrollo, etc). </t>
  </si>
  <si>
    <t>Debe habilitar la capacidad de integración de aplicaciones, bases de datos y otras tecnologías para convertirse en participantes activos en el flujo de información de la empresa, independiente del  formato de datos o los protocolos de comunicación.</t>
  </si>
  <si>
    <t>La propuesta deberá soportar transacciones mediante Web Service (ej: Rollback, Reversar,  etc).</t>
  </si>
  <si>
    <t>La propuesta deberá soportar API para interactuar con servicios externos. La solución debe tener funcionalidades para manejar el inventario de servicios.</t>
  </si>
  <si>
    <t>El enfoque de integración debe ser impactar lo menos posible, las aplicaciones de Claro Colombia, debe aprovechar y proteger la aplicaciones legado de IT.</t>
  </si>
  <si>
    <t xml:space="preserve">La solución deberá tener monitoreo y gestión centralizados.
La solución debe incluir manejo de indicadores. </t>
  </si>
  <si>
    <t>La solución debe contemplar un sistema de alarmas continuo para monitorear tareas tales como el manejo de procesos Batch y On line, acorde a las diferentes tareas contempladas en los diferentes procesos de negocio.</t>
  </si>
  <si>
    <t>La propuesta deberá soportar comunicación síncrona y asíncrona.</t>
  </si>
  <si>
    <t>La propuesta deberá soportar priorización de mensajes.</t>
  </si>
  <si>
    <t>La propuesta deberá soportar entrega garantizada de mensajes (ex: configuración. de re-intentos).</t>
  </si>
  <si>
    <t>El sistema deberá permitir la configuración de re-intentos en fallas. Debe también proporcionar mecanismos de control para mensajes que excedan el número máximo de re-intentos. La solución debe soportar la configuración. de parámetros de re-intento (ex: tiempo).</t>
  </si>
  <si>
    <t>La propuesta deberá permitir el ruteo de mensajes fallidos a la ubicación donde se pueda ejecutar una acción adicional.</t>
  </si>
  <si>
    <t xml:space="preserve">El proveedor deberá especificar cual es el tamaño máximo del mensaje con el que el sistema puede mantener el rendimiento deseado. La solución debe soporta ejecución batch masivas y en cualquier horario. </t>
  </si>
  <si>
    <t>La propuesta deberá tener la capacidad de trabajar con "load-balancer" (utilizado para enviar las solicitudes).</t>
  </si>
  <si>
    <t xml:space="preserve">La propuesta deberá soportar, al menos, los siguientes adaptadores de red: SFTP , HTTP, HTTPS, POP3, SMTP, IMAP, TCP/IP, SMPP. </t>
  </si>
  <si>
    <t>La propuesta deberá incluir mensajes orientados a middleware: JMS, IBM Websphere MQ, MS MQ, etc. (dependiendo del producto en uso pero uno de estos debe ser obligatorio). Ademas, acogiéndose a las políticas de middleware de Claro Colombia,</t>
  </si>
  <si>
    <t>La propuesta deberá incluir, al menos, los siguientes adaptadores de base de datos: Oracle, ODBC. Ademas acogiéndose a las políticas de middleware de Claro Colombia.</t>
  </si>
  <si>
    <t>La propuesta debe incluir adaptador de archivos con las siguientes capacidades:
• import/export.
• Capacidades SFTP.</t>
  </si>
  <si>
    <t>La propuesta debe soportar, al menos, los siguientes formatos de mensaje:
• SOAP con o sin anexo.
• JMS con encabezado.
• Texto Simple.
• XML con o sin adjuntos.
• Email con o sin adjuntos .
• SMS (para notificaciones).
• T3 (Oracle weblogic).</t>
  </si>
  <si>
    <t>La propuesta debe soportar, entre otros, los siguientes formas de intercambio de mensajes:
• Publicar/Dar de alta.
• Store/Forward.
• JCA Adaptadores .
• Archivo.
• SFTP/ Copia Segura.
• Email.
• EJB/RMI/CORBA.
• Ademas, acogiéndose a las políticas de middleware de Claro Colombia.</t>
  </si>
  <si>
    <t>La propuesta deberá ser capaz de transformar entradas desde múltiples fuentes hacia múltiples destinos. La solución debe soporta al menos xquery y xslt.</t>
  </si>
  <si>
    <r>
      <t>La solución debe poder convertir el formato de solicitud de servicio al</t>
    </r>
    <r>
      <rPr>
        <b/>
        <sz val="10"/>
        <color rgb="FF000000"/>
        <rFont val="Roboto"/>
      </rPr>
      <t xml:space="preserve"> </t>
    </r>
    <r>
      <rPr>
        <sz val="10"/>
        <color rgb="FF000000"/>
        <rFont val="Roboto"/>
      </rPr>
      <t xml:space="preserve">formato que soporte el servicio del proveedor. </t>
    </r>
  </si>
  <si>
    <t>El proveedor deberá indicar cual es el estándar que maneja para la gestión de errores durante la transformación. El sistema deberá soportar métodos de gestión de error que maneje como mínimo el código de error, el mensaje de error a mostrar a usuario final y un campo de descripción técnica del error.</t>
  </si>
  <si>
    <t>La propuesta deberá contener un motor de reglas de transformación de datos que permita:
- Construir las reglas de mapeo y transformación utilizando una GUI, si aplica.
- Creación de reglas de validación.
- Categorización de reglas.
Las transformaciones y formatos de datos no deben incluirse datos quemados en el código, y deben apoyarse en tablas paramétricas de mapeo.</t>
  </si>
  <si>
    <t xml:space="preserve">  Integración</t>
  </si>
  <si>
    <t>Integración</t>
  </si>
  <si>
    <t>INTEGRACIÓN A NIVEL DE CAPA MEDIA
La solución debe proporcionar un módulo o framework capaz de proveer la capacidad de manejo centralizado de consumo de servicios web para consulta y gestión de peticiones para los diferentes flujos asociados a la gestión. Dicho componente debe tener la posibilidad de consumir de manera nativa cualquier otro componente expuesto a nivel de capa media, a nivel de ESB. Para efectos de entendimiento, este componente se denominara “Adaptador de servicios”.</t>
  </si>
  <si>
    <t>Dentro del alcance de los protocolos y/o lenguajes que debe soportar el componente denominado “Adaptador de servicios”, este debe contemplar:
–Digital Signatures,
–REST, SOAP, Restlet
–File, FTP
–Hazelcast
–HTTP, HTTPS, Comet, Jetty, Servlet,
–IMAP, SMTP, POP3, JavaMail
–IRC, RSS, XMPP, SIP
–JDBC, LDAP, JPA, SQL
–JMS, AMQP, ActiveMQ, RabbitMQ, ZeroMQ
–Netty, MINA (UDP/TCP/VM),
–JMX, SNMP, Nagios
–Quartz, RMI, EJB
–SMPP, SSH,
–Twitter, Velocity,
–XQuery, XSLT.</t>
  </si>
  <si>
    <t>El componente denominado “Adaptador de servicios”, debe ser reutilizable, extensible y configurable.</t>
  </si>
  <si>
    <t>La integración del componente anterior debe realizarse a través de un API de servicios expuesta desde la solución para el intercambio de información (peticiones) con el Charging System.</t>
  </si>
  <si>
    <t>Dentro del alcance de los protocolos y/o lenguajes que debe soportar el componente denominado “Charging Services”, este debe contemplar:
-RF
-Ro
-Diameter
-XML
-HTTP, HTTPS
-SOAP, REST, Restlet</t>
  </si>
  <si>
    <r>
      <t>INTEGRACIÓN A NIVEL DE REDES</t>
    </r>
    <r>
      <rPr>
        <sz val="10"/>
        <color rgb="FF000000"/>
        <rFont val="Roboto"/>
      </rPr>
      <t xml:space="preserve">
La solución debe proporcionar la capacidad de integración a nivel de redes IMS, mediante diferentes protocolos y/o tecnologías dentro de las que se encuentran:
- ISC (SIP).
- Dh, Sh (Diameter).
- Rf, Ro (Diameter).</t>
    </r>
  </si>
  <si>
    <t>La solución debe tener la capacidad de integración con agentes y componentes externos a nivel de base de datos relacionales.</t>
  </si>
  <si>
    <t>La solución debe tener la capacidad de integración con protocolos SMPP, USSD, MMS y MAP tradicional.</t>
  </si>
  <si>
    <r>
      <t>INTEGRACIÓN A NIVEL DE CANALES DE ENTRADA</t>
    </r>
    <r>
      <rPr>
        <sz val="10"/>
        <color rgb="FF000000"/>
        <rFont val="Roboto"/>
      </rPr>
      <t xml:space="preserve">
La solución debe tener la capacidad de recibir entradas a través de cualquiera de los siguientes canales:
- Voz.
- Audio.
- Web (WWW, Keyboard).
- SMS.
- Email.</t>
    </r>
  </si>
  <si>
    <t>ANÁLISIS DE DATOS
La solución debe contar con un módulo de análisis predictivo para realizar tareas de estudio que evalúen el comportamiento de los usuarios finales con el fin de anteponerse a las solicitudes realizadas por los diferentes canales soportados.</t>
  </si>
  <si>
    <t>La solución debe tener la capacidad de realizar análisis dinámico de la información de la solicitud, que permita generar el manejo de opciones de respuesta dependiendo de la petición del usuario final.</t>
  </si>
  <si>
    <r>
      <t>CONFIGURACIÓN</t>
    </r>
    <r>
      <rPr>
        <sz val="10"/>
        <color rgb="FF000000"/>
        <rFont val="Roboto"/>
      </rPr>
      <t xml:space="preserve">
La solución debe tener un componente denominado “Voice Portal” mediante el cual se tenga la administración total de la funcionalidad de la solución.</t>
    </r>
  </si>
  <si>
    <t>La solución debe tener un componente denominado “Developer Portal” mediante el cual se puedan aplicar cambios asociados al desarrollo de nueva y actual funcionalidad de la solución, permitiendo realizar cambios in house sin intervención del proveedor.</t>
  </si>
  <si>
    <t>La solución no debe usar software con licencias de código abierto o free. En caso de ser mandatoriamente necesario, el proveedor debe especificar a detalle la necesidad, configuración y administración del mismo a costo cero para Claro Colombia. Debe procurar usar licencias adquiridas por Claro Colombia.</t>
  </si>
  <si>
    <t>REPORTES
La solución debe contemplar un componente que permita el monitoreo en tiempo real del tráfico, la metadata y la información producto de la lógica de los procesos asociados a los flujos de trabajo implementados dentro de la solución. Esta funcionalidad debe incluir las mismas opciones para información histórica.</t>
  </si>
  <si>
    <t>La solución debe contemplar la generación de indicadores, previamente configurados asociados a los procesos de negocio, vigentes impactados por la solución.</t>
  </si>
  <si>
    <t>Las interfaces de consulta del componente de reportes deben ser vía Web y Mobile.</t>
  </si>
  <si>
    <t xml:space="preserve">  Modelo de seguridad y arquitectura de redes</t>
  </si>
  <si>
    <t>Modelo de seguridad y arquitectura de redes</t>
  </si>
  <si>
    <t>Se debe proveer a Claro con un diagrama y documento que permita conocer el modelo de integración de la red de datos en la que estará instalado el sistema con la red de Claro  Este documento será revisado por el personal del departamento de redes de claro Colombia</t>
  </si>
  <si>
    <t>La solución debe proporcionar mecanismos para pruebas en producción.</t>
  </si>
  <si>
    <t>La solución debe tener la capacidad de exponer servicios de integración a terceros para todas las funcionalidades que contenga dicha solución.</t>
  </si>
  <si>
    <t>La solución debe tener la capacidad de auditoria y generar registros de transacciones, con un identificador que permita clasificar el tipo de transaction. El origen, timestamp, entre otros, y la transaction debe ser recuperable (almacenada) por un tiempo X que define el área de negocio de Claro Colombia.</t>
  </si>
  <si>
    <t>La integración con el Bus debe de soportar HTTP, Hypertext Transfer Protocol secure y HTTP - basado en SOAP</t>
  </si>
  <si>
    <t>La solución debe contener un componente capaz de realizar gestión de respuestas, a través de los siguientes canales:
- Chat web
- SMS
- Navegación colaborativa
- Redes sociales
- Vídeo en directo y pregrabado
- Grabación de sesiones y monitoreo de calidad
- Análisis del habla
- Data mart y sistemas analíticos</t>
  </si>
  <si>
    <t xml:space="preserve">  Alcance Solución Funcional</t>
  </si>
  <si>
    <t>Propuesta General</t>
  </si>
  <si>
    <t>Propuesta General
El Proponente debe entregar una respuesta técnica para cada ítem formulado, especificando a cada numeral su cumplimiento o cualquier desviación de los requerimientos especificados (cumplimiento parcial o no cumplimiento), con las aclaraciones pertinentes y con referencia a los documentos y/o folios de la propuesta donde se evidencia el cumplimiento total o parcial del requerimiento.. Este volumen constituirá uno de los ejes centrales de evaluación de la propuesta, por lo tanto deberá ceñirse al orden temático requerido por CLARO. En caso de que la propuesta no cumpla con el orden establecido y se dificulte la evaluación, CLARO podrá considerar su descalificación del proceso. La Propuesta Técnica  está compuesta por:
Generalidades
§ Resumen ejecutivo global de la propuesta técnica
§ Alcance de la propuesta
§ Especificaciones Técnicas
§ Descripción general de los servicios ofrecidos
§ Condiciones mínimas a cumplir por CLARO
§ Recomendaciones generales
§ Estrategia para el periodo de transición
§ Beneficios cuantitativos y cualitativos de la solución ofrecida
Descripción de funcionalidades
§ Descripción de las características de los servicios
§ Descripción funcional de cada uno de los servicios ofrecidos dentro de la propuesta
§ Descripción funcional de servicios ofrecidos como opcionales en la propuesta
§ Herramientas y/o facilidades usadas para la administración de los servicios
Servicios
§ Otros servicios ofrecidos
El Proponente podrá incluir otros aspectos que considere que agregan valor a CLARO, indicando claramente que son opcionales.</t>
  </si>
  <si>
    <t>Situación actual</t>
  </si>
  <si>
    <t>La solución debe contemplar las características y restricciones técnicas presentadas en este capítulo. A continuación se realiza una descripción de la situación actual de Claro Colombia.</t>
  </si>
  <si>
    <t>Consideraciones Generales</t>
  </si>
  <si>
    <t xml:space="preserve">Claro requiere Implementar una solución basada en mejores prácticas de industria, que permite mejorar la experiencia cliente, con funcionalidades estrechamente relacionadas con información de CRMs, canales de atención asistida y no asistida y redes sociales, para dar una “Visión única de cliente”, a través de todos los puntos de contacto.Para ello se requiere
Inventario actualizado de numeraciones aplicaciones, dependencias y requerimientos para definir el plan con menor riesgo y tiempo de ejecución en el tiempo para la organización. </t>
  </si>
  <si>
    <t xml:space="preserve">Entrega del plan de trabajo sobre la plataforma, incluyendo las fases de Definición, Planeación, Diseño, Implementación del Servicio, Pruebas Técnicas y Funcionales, Transferencia de Conocimiento, acompañamiento y estabilización, Documentación y Entrega del Proyecto. </t>
  </si>
  <si>
    <t>Integración con plataformas, para entrega de peticiones tales como SMS, Sat Push, Correo electrónico, o aplicaciones móviles</t>
  </si>
  <si>
    <t>Integración con diferentes aplicaciones, bases de datos y uso de de funciones orientadas a completar las peticiones de servicio</t>
  </si>
  <si>
    <t>Proveer módulos de gestión que incluya entre otros, indicadores sobre comportamiento, transacciones en curso,  tiempo medio de atención, tiempo medio de espera, % de abandono antes de petición, % de abandono después de petición, % navegación, uso medio de circuitos, % utilización plataforma, % de ocupación de circuitos, entre otros (Ver numeral 4.5.6)</t>
  </si>
  <si>
    <t>Escalar de la manera ágil, previo establecimiento de SLAs, incluyendo criterios de criticidad necesarios para la resolución de incidentes a fin de evitar impactos que generen reclamación entre los clientes o sanciones regulatorias.</t>
  </si>
  <si>
    <t>Bolsa de Horas para desarrollos evolutivos y  Soporte x 1 año.</t>
  </si>
  <si>
    <t xml:space="preserve">Descripción Modelo Funcional </t>
  </si>
  <si>
    <t>Claro Prevee implementar la solución por fases, siempre teniendo en consideración la visión general del modelo a implementar como sigue. El oferente puede entregar propuesta para cada fase, puede optar por presentar al menos dos fases de las propuestas en el RFP o alternativas que combinen  más de una fase:</t>
  </si>
  <si>
    <t xml:space="preserve">Almacenamiento y mantenimiento de informes </t>
  </si>
  <si>
    <t xml:space="preserve">
a) Mantenimiento de todos los reportes inclusive detallados por transacción : 6 meses on line / 2 años en repositorio
b) Informes diarios y semanales por 5 años
c) Mensuales y anuales por 10 años</t>
  </si>
  <si>
    <t>Herramientas de BI  y analítica</t>
  </si>
  <si>
    <t>Se requiere la recoleccion de datos, de historiales, para su procesamiento y trasformación en información de valor que aporte al negocio, que lleven a la creación de campañas de generación de ingresos, de retención o de mejora de los niveles de NPS.</t>
  </si>
  <si>
    <t xml:space="preserve">Asi mismo se requiere integraciones con DWH, y otras bases de datos </t>
  </si>
  <si>
    <t>Actividades de implementación y consultoría</t>
  </si>
  <si>
    <t>El proveedor seleccionado realizara el análisis del estado actual de los servicios y operaciones a migrar asi como los requisitos de la empresa para sugerir de acuerdo a sus recomendaciones la mejor practica de implementación y solución.</t>
  </si>
  <si>
    <t>Realizara levantamiento de todos los flujos y procesos de cada uno de los númerales para detallar su funcionamiento. Elaborara el inventario técnico y basado en esta información planteara un nuevo diseño del servicio, del manejo de sus datos y su gobierno.</t>
  </si>
  <si>
    <t>El proveedor seleccionado realizará reuniones y seciones de entendimiento con las áreas o personas que claro designe, para obtener la mayor información como procesos, procedimientos, reportes y nuevas necesidades de la unidad de negocio.</t>
  </si>
  <si>
    <t>Diseño propuesto
• Diseño detallado de la solución propuesta
o Flujos completos por cada uno de los numerales activos
o Diseño funcional e impactos operativos
o Arquitectura detallada
o Integraciones a desarrollar
o Diseño de la solución en canales diferentes el proveedor seleccionado los ofrece.
o Flujo de datos
• Propuesta de reportes.
• Propuesta para el análisis de datos.
• Listado de aplicaciones y funciones.</t>
  </si>
  <si>
    <t>Cronograma
• Definición del detalle de actividades por fases.
• Diferenciacion de actividades funcionales y técnicas.
• Trasferencias de información.
• Capacitaciones a los diferentes grupos impactados por los cambios.</t>
  </si>
  <si>
    <t xml:space="preserve">  Operación y Soporte</t>
  </si>
  <si>
    <t>Operación y Soporte</t>
  </si>
  <si>
    <t>Se debe entregar el roadmap a 5 años de estos productos (fecha de obsolescencia HW y SW).</t>
  </si>
  <si>
    <t>Realizar mantenimientos preventivos en Hardware con periodicidad mensual y en Software con carácter semanal, generar informe de desempeño y capacidad desarrollo.de los equipos, y recomendaciones de los hallazgos.</t>
  </si>
  <si>
    <t>Servicio de manejo de repuestos, el proveedor garantiza la existencia de un inventario local (Colombia)de repuestos que en calidad y cantidad le permitan atender cualquier tipo de falla que pudiera sobrevenir en la Red, el proveedor indicará el stock de repuestos que mantendrá localmente, especificando tipo de unidades, referencias y cantidades, e indicando las memorias de cálculo que dieron origen a dichas cantidades las cuales deberán tener en consideración el índice de tiempo medio entre fallas (MTBF) y el tiempo medio para reparación (MTTR) especificado para cada unidad.</t>
  </si>
  <si>
    <t>La plataforma se debe entregar para el soporte y mantenimiento con el stock de repuestos que el proveedor recomienda en calidad y cantidad para el correcto funcionamiento de la plataforma y del servicio.</t>
  </si>
  <si>
    <t>Documentación de esquemas de backup de base de datos, sistema operativo y configuración, incluyendo copia a medio externo.</t>
  </si>
  <si>
    <t>El proveedor garantiza que mantendrá como mínimo en sus inventarios los equipos en las ciudades donde estén instalados los equipos, en la clase y las cantidades de repuestos requeridos para soportar la correcta operación de los equipos objeto de servicio durante la vigencia ofrecida y en los términos y condiciones otorgados por el fabricante.</t>
  </si>
  <si>
    <t>Cursos básicos y avanzados de administración, operación y mantenimiento necesarios para asegurar el uso correcto de los equipos. El proveedor deberá incluir la capacitación para 60 funcionarios de Comcel y/o Telmex, según los niveles de cada grupo. La capacitación debe ser impartida en español, se debe partir para que los grupos asistan en semanas diferentes, y que se disponga de una plataforma en ambiente de pruebas donde realizar la parte práctica, adicional se requiere contar con un periodo de Babysitting.</t>
  </si>
  <si>
    <t>Garantía: Mínimo 3 años de garantía en piezas y mano de obra.</t>
  </si>
  <si>
    <t>Documentación de Rutinas de Mantenimiento  en español indicando su periodicidad (Diaria, semanal, mensual y semestral) y especificando si se pueden realizar en sitio o remotamente.</t>
  </si>
  <si>
    <t>Capacitaciones de uso de las plataformas y herramientas dispuestas para el proveedor para cada una de las áreas de Claro que interactúen con dichas plataformas y herramientas, con la periodicidad definida por Claro.</t>
  </si>
  <si>
    <t>Automatización de las Rutinas de Operación y mantenimiento sugeridas.
Capacidad de la máquina tanto por licencia Física como por capacidad usada.</t>
  </si>
  <si>
    <t>Matriz de escalamiento con el proveedor, procedimiento para apertura de casos con el TAC.</t>
  </si>
  <si>
    <t>Listado de KPIs de desempeño, hardware, software, capacidad y licenciamiento, recomendados e implementados por el proveedor.</t>
  </si>
  <si>
    <t>Documentación del procedimiento de Verificación de Acceso remoto para Soporte de Proveedor.</t>
  </si>
  <si>
    <t>BASE INSTALADA. ( listado del 100% de equipos instalados por el proveedor, los cuales cuentan con contrato de soporte, se incluye inventario de HW y SW instalado).</t>
  </si>
  <si>
    <t>La plataforma debe entregarse integrada al NTP del operador Claro.
Diagrama de Flujo del servicio.
SLA de Soporte y Mantenimiento
Servicio Técnico: se deberá proponer un programa de mantenimiento incluido en el proyecto, que además de incorporar un mínimo de tres años de garantía de los diferentes fabricantes implicados en la solución, incluya:
a) Sistema de gestión de incidencias y averías propuesto.
b) Tiempos de respuesta frente a incidencias hardware y/o software.
c) Sistemas de sustitución de elementos hardware implicados, proponiendo tiempos de respuesta concretos. Para los elementos que se consideren críticos, éste tiempo deberá ser, como máximo, de 6 horas.
d) Procedimiento de desplazamiento de técnicos para solventar cualquier incidencia que así lo requiere.
e) Periodo de atención y soporte telefónico local, por correo 7x24, y sitio web.
f) Soporte en sitio por el periodo de duración del contrato de soporte  en caso de alarmas mayores.
g) Enunciar los SLA de entrega de repuestos, e instalación de los mismos. (Ver Tabla SLA Requerido)</t>
  </si>
  <si>
    <t>El proveedor debe indicar el listado de repuestos para el que garantiza la existencia de un inventario local (Colombia), y para este listado de repuestos debe cumplir:
Tiempo repuesto falla en sitio Bogotá para listado inventario local:    2 Horas
Tiempo repuesto falla en sitio fuera de Bogotá para listado inventario local:    4 Horas</t>
  </si>
  <si>
    <t>Recuperación Rápida</t>
  </si>
  <si>
    <t>A través de las funciones de implementación de software, el sistema operativo y las aplicaciones pueden recuperarse rápida y automáticamente luego de una caída de servicios.</t>
  </si>
  <si>
    <t>El hardware de la plataforma debe ofrecer soporte de hot-plug in &amp; out.</t>
  </si>
  <si>
    <t>El sistema debe soportar funciones de localización y resolución rápida de fallas, para mejorar la integridad de la ejecución del sistema.</t>
  </si>
  <si>
    <t>El sistema provee funciones de notificación vía Email, SMS para informar al administrador sobre alarmas de fallos, de tal manera que las fallas se atiendan lo antes posible.</t>
  </si>
  <si>
    <t>El Proponente deberá manejar y presentar el plan de contingencia o plan de continuidad de negocio que maneje para garantizar disponibilidad total del servicio.</t>
  </si>
  <si>
    <t>Alta disponibilidad</t>
  </si>
  <si>
    <t>La solución ofrecida debe proveer redundancia en varios niveles:</t>
  </si>
  <si>
    <t>Redundancia de dispositivo incluyendo fuentes y almacenamiento</t>
  </si>
  <si>
    <t>Redundancia para elementos de red.</t>
  </si>
  <si>
    <t>Redundancia de conexiones entre dispositivos de red, y entre servidores.</t>
  </si>
  <si>
    <t>Una falla en alguno de estos elementos no debe afecta el servicio de los subscriptores.</t>
  </si>
  <si>
    <t>La solución debe proveer servicio en modo clúster de la menos 2 nodos, en modo activo-standby. El cambio de servicio entre el nodo activo y el nodo standby debe ser totalmente automático.</t>
  </si>
  <si>
    <t>El proveedor debe entregar documentado el esquema de redundancia para cada una de las unidades internas que lo componen.</t>
  </si>
  <si>
    <t>El proveedor debe entregar el plan de contingencia documentado para mantener el servicio en correcto funcionamiento.  Incluir pruebas del plan de contingencia a realizar con periodicidad semestral.</t>
  </si>
  <si>
    <t>Se debe contar con redundancia geográfica y balanceo de carga de manera automática.</t>
  </si>
  <si>
    <t>Monitoreo de Fallas</t>
  </si>
  <si>
    <t>El monitoreo de fallas del sistema debe ser end-to-end (E2E), con indicadores de rendimiento del sistema cubriendo todos los elementos de red.</t>
  </si>
  <si>
    <t>Los procesos de servicio deben ser totalmente trazables usando las interfaces de log.</t>
  </si>
  <si>
    <t>El sistema debe proveer monitoreo en los siguientes niveles:</t>
  </si>
  <si>
    <t>Monitoreo de red</t>
  </si>
  <si>
    <t>Monitoreo de bases de datos</t>
  </si>
  <si>
    <t>Monitoreo de recursos del sistema</t>
  </si>
  <si>
    <t xml:space="preserve">Monitoreo de host de hardware </t>
  </si>
  <si>
    <t>Monitoreo de Servicio</t>
  </si>
  <si>
    <t>Monitoreo de consistencia de transacciones.</t>
  </si>
  <si>
    <t>Alta Confiabilidad</t>
  </si>
  <si>
    <t>El tiempo medio entre fallas (MTBF) del sistema es 26580 horas.</t>
  </si>
  <si>
    <t>El tiempo medio de reparación (MTTR) del sistema es de 1 hora.</t>
  </si>
  <si>
    <t>La disponibilidad del sistema es de 99.999%.</t>
  </si>
  <si>
    <t>El uso medio de CPU en horas de mayor carga no superan el 70%.</t>
  </si>
  <si>
    <t>Equipo de trabajo propuesto</t>
  </si>
  <si>
    <t>Por ser esta una propuesta de servicios, CLARO / TELMEX valorará la experiencia y competencia del equipo de trabajo propuesto. En este sentido, el Proponente deberá establecer claramente cuál será el equipo de trabajo que ejecutará los servicios en caso de ser adjudicada la solución, roles, responsabilidades de cada uno de los grupos de servicio dentro del proyecto. En caso de que sea adjudicado el contrato el proveedor deberá respetar el recurso humano ofertado en la propuesta del RFP, so pena de finalización del contrato y penalizaciones establecidas.</t>
  </si>
  <si>
    <t>En los anexos se deberán incluir las hojas de vida (detallando la experiencia en proyectos similares) y certificaciones vigentes verificables que soporten la experiencia y competencia del equipo propuesto.</t>
  </si>
  <si>
    <t>Una vez asignado el proyecto, de llegarse a comprobar que cualquiera de la información proporcionada no corresponde a la realidad, se podrá considerar este hecho como justa causal para la finalización del contrato por parte de CLARO, dando lugar a las sanciones o multas referidas en el contrato.</t>
  </si>
  <si>
    <t>¿La herramienta permite hacer la integración con los mecanismos dispuestos por la organización para ingresar con Múltiple Factor de Autenticación?</t>
  </si>
  <si>
    <t>Se deben definir las tablas de retención sobre las transacciones que se almacenan.</t>
  </si>
  <si>
    <t>¿Los registros de las transacciones se almacenarán solamente en los Audit logs del SIEM de Claro o también de forma local?</t>
  </si>
  <si>
    <t>¿Se generarán copias de seguridad externas de las transacciones generadas? - si es así, ¿Cómo se aseguran estas copias de seguridad para garantizar la confidencialidad, integridad y disponibilidad de la información?</t>
  </si>
  <si>
    <t>Para la integración con los servicios de Claro, solo se deben aceptar puertos y protocolos seguros de acuerdo con los parámetros de seguridad definidos (se debe seguir las Líneas base de seguridad (LBS) definidas por la organización.).</t>
  </si>
  <si>
    <t>Para la generación y cumplimiento de contraseñas se debe seguir el estándar de seguridad de la información- LBS contraseñas.</t>
  </si>
  <si>
    <t>Se debe definir un análisis de riesgos para identificar los riesgos inherentes y residuales en cuanto a la integración de la herramienta con los servicios de Claro Colombia.</t>
  </si>
  <si>
    <t>¿Cuál es la metodología y arquitectura que se llevará a cabo para la creación, manejo, administración e intercambio de llaves criptográficas?</t>
  </si>
  <si>
    <t>¿La herramienta viene con usuarios definidos por aplicación? Si es así, ¿Cómo será el manejo de estos usuarios? ¿Quién tendrá la custodia de administración de estos usuarios?</t>
  </si>
  <si>
    <t>La solución debe tener la capacidad de auditoría y generar registros de transacciones, con un identificador que permita clasificar el tipo de transacción, el origen, timestamp, entre otros, y la transacción debe ser recuperable (almacenada) por un tiempo X que define el área de negocio de Claro Colombia. Las LBS indican que se deben mantener registros de por lo menos 3 meses de manera inmediata y 1 año en reposo. Este periodo debe ser configurable</t>
  </si>
  <si>
    <t xml:space="preserve">Los parámetros de seguridad deben ser configurables para toda la plataforma. Todos los métodos deben soportar SSL o cifrado compatible con las plataformas de CLARO. </t>
  </si>
  <si>
    <t>Los passwords deben poder ser cambiados en toda la plataforma de forma simple (ej: rutinas sobre los blades). Los usuarios deben tener distintos niveles de acceso según sus actividades, manejo de roles y perfiles. Debe integrarse con el OIM de seguridad informática para la centralización tanto de usuarios como perfiles de usuarios y contemplar la complejidad de contraseñas.</t>
  </si>
  <si>
    <t>El proveedor debe demostrar en un documento que va a implementar las políticas de seguridad de Claro Colombia y debe cumplir a cabalidad con el anexo técnico de seguridad de la información.</t>
  </si>
  <si>
    <t>La solución debe ser capaz de trabajar bajo esquemas de seguridad utilizando protocolos SSL o certificados digitales.</t>
  </si>
  <si>
    <t>La solución debe soportar la protección de la información (cifrado, masking, etc).</t>
  </si>
  <si>
    <t>A nivel de Seguridad de la Red, los puertos no utilizados por la solución deben permanecer cerrados. NO se pueden utilizar puertos ni usuarios por defecto</t>
  </si>
  <si>
    <t>Debe existir el manejo de llaves entre envío y recepción de información. Esquema de cifrado bajo SSL o algún método de cifrado soportado por claro y sus legados.</t>
  </si>
  <si>
    <t>La aplicación es una solución SaaS?, si es asi, no debería integrarse con el service Provider Identity de la compañía (Azure AD)?.</t>
  </si>
  <si>
    <t xml:space="preserve"> La solución debería incluir compatibilidad en integración con SAML o SSO?</t>
  </si>
  <si>
    <t>¿Tiene experiencia previa en implementación de soluciones similares (IA)?</t>
  </si>
  <si>
    <t>¿Cumple con los tiempos solicitados de implementación y puesta en marcha?</t>
  </si>
  <si>
    <t>¿Cuenta con referencias verificables de clientes?</t>
  </si>
  <si>
    <t>¿Tiene capacidades de soporte y acompañamiento post-implementación?</t>
  </si>
  <si>
    <t>¿Cuenta con certificaciones del proveedor cloud o tecnologías usadas?</t>
  </si>
  <si>
    <t>¿Puede demostrar mejoras cuantificables en proyectos anteriores?</t>
  </si>
  <si>
    <t>PESO</t>
  </si>
  <si>
    <t>CRITERIOS</t>
  </si>
  <si>
    <t>OFERTANTE</t>
  </si>
  <si>
    <t>Alcance funcional</t>
  </si>
  <si>
    <t>Alcance técnico</t>
  </si>
  <si>
    <t>Arquitectura</t>
  </si>
  <si>
    <t>Seguridad, control riesgos</t>
  </si>
  <si>
    <t>Riesgos del proyecto</t>
  </si>
  <si>
    <t>Oferta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</si>
</sst>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theme="1"/>
      <name val="Roboto"/>
      <family val="2"/>
    </font>
    <font>
      <sz val="11"/>
      <color theme="1"/>
      <name val="Calibri"/>
      <family val="2"/>
      <scheme val="minor"/>
    </font>
    <font>
      <b/>
      <sz val="10"/>
      <color theme="1"/>
      <name val="Roboto"/>
    </font>
    <font>
      <sz val="8"/>
      <name val="Roboto"/>
      <family val="2"/>
    </font>
    <font>
      <b/>
      <sz val="10"/>
      <color theme="1"/>
      <name val="Roboto"/>
      <family val="2"/>
    </font>
    <font>
      <b/>
      <sz val="10"/>
      <color theme="0"/>
      <name val="Roboto"/>
      <family val="2"/>
    </font>
    <font>
      <sz val="10"/>
      <color rgb="FF000000"/>
      <name val="Roboto"/>
      <family val="2"/>
    </font>
    <font>
      <b/>
      <sz val="10"/>
      <name val="Roboto"/>
      <family val="2"/>
    </font>
    <font>
      <b/>
      <sz val="10"/>
      <color rgb="FFFFFFFF"/>
      <name val="Roboto"/>
      <family val="2"/>
    </font>
    <font>
      <b/>
      <sz val="10"/>
      <color rgb="FFFF0000"/>
      <name val="Roboto"/>
      <family val="2"/>
    </font>
    <font>
      <b/>
      <sz val="10"/>
      <color rgb="FF000000"/>
      <name val="Roboto"/>
    </font>
    <font>
      <sz val="10"/>
      <color rgb="FF000000"/>
      <name val="Roboto"/>
    </font>
    <font>
      <b/>
      <sz val="10"/>
      <color rgb="FF000000"/>
      <name val="Roboto"/>
      <family val="2"/>
    </font>
  </fonts>
  <fills count="1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6" tint="0.79998168889431442"/>
        <bgColor theme="6" tint="0.79998168889431442"/>
      </patternFill>
    </fill>
    <fill>
      <patternFill patternType="solid">
        <fgColor rgb="FF92D05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FFFF00"/>
        <bgColor theme="6" tint="0.79998168889431442"/>
      </patternFill>
    </fill>
    <fill>
      <patternFill patternType="solid">
        <fgColor rgb="FFA5A5A5"/>
        <bgColor rgb="FFA5A5A5"/>
      </patternFill>
    </fill>
    <fill>
      <patternFill patternType="solid">
        <fgColor rgb="FFD9E1F2"/>
        <bgColor rgb="FF000000"/>
      </patternFill>
    </fill>
    <fill>
      <patternFill patternType="solid">
        <fgColor theme="6" tint="0.59999389629810485"/>
        <bgColor theme="6" tint="0.59999389629810485"/>
      </patternFill>
    </fill>
    <fill>
      <patternFill patternType="solid">
        <fgColor rgb="FFFFC00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ck">
        <color theme="0"/>
      </bottom>
      <diagonal/>
    </border>
    <border>
      <left style="dashed">
        <color indexed="64"/>
      </left>
      <right style="dashed">
        <color indexed="64"/>
      </right>
      <top style="dashed">
        <color indexed="64"/>
      </top>
      <bottom style="dashed">
        <color indexed="64"/>
      </bottom>
      <diagonal/>
    </border>
    <border>
      <left style="thin">
        <color theme="0"/>
      </left>
      <right style="thin">
        <color theme="0"/>
      </right>
      <top style="thick">
        <color theme="0"/>
      </top>
      <bottom/>
      <diagonal/>
    </border>
    <border>
      <left/>
      <right/>
      <top style="thick">
        <color theme="0"/>
      </top>
      <bottom style="thick">
        <color theme="0"/>
      </bottom>
      <diagonal/>
    </border>
    <border>
      <left style="thin">
        <color theme="0"/>
      </left>
      <right/>
      <top style="thick">
        <color theme="0"/>
      </top>
      <bottom/>
      <diagonal/>
    </border>
    <border>
      <left style="thin">
        <color rgb="FF000000"/>
      </left>
      <right/>
      <top style="thin">
        <color rgb="FF000000"/>
      </top>
      <bottom style="thin">
        <color rgb="FF000000"/>
      </bottom>
      <diagonal/>
    </border>
    <border>
      <left style="thin">
        <color rgb="FF000000"/>
      </left>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theme="0"/>
      </left>
      <right style="thin">
        <color theme="0"/>
      </right>
      <top/>
      <bottom style="thin">
        <color rgb="FF000000"/>
      </bottom>
      <diagonal/>
    </border>
    <border>
      <left style="thin">
        <color theme="0"/>
      </left>
      <right/>
      <top/>
      <bottom style="thin">
        <color rgb="FF000000"/>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s>
  <cellStyleXfs count="2">
    <xf numFmtId="0" fontId="0" fillId="0" borderId="0"/>
    <xf numFmtId="0" fontId="1" fillId="0" borderId="0"/>
  </cellStyleXfs>
  <cellXfs count="49">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0" borderId="0" xfId="0" applyAlignment="1">
      <alignment textRotation="45"/>
    </xf>
    <xf numFmtId="0" fontId="0" fillId="3" borderId="0" xfId="0" applyFill="1" applyAlignment="1">
      <alignment horizontal="center" vertical="center" textRotation="45"/>
    </xf>
    <xf numFmtId="0" fontId="0" fillId="5"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xf>
    <xf numFmtId="9" fontId="0" fillId="0" borderId="7" xfId="0" applyNumberFormat="1" applyBorder="1" applyAlignment="1">
      <alignment horizontal="center"/>
    </xf>
    <xf numFmtId="9" fontId="4" fillId="6" borderId="8" xfId="0" applyNumberFormat="1" applyFont="1" applyFill="1" applyBorder="1" applyAlignment="1">
      <alignment horizontal="center" vertical="center"/>
    </xf>
    <xf numFmtId="0" fontId="4" fillId="6" borderId="9" xfId="0" applyFont="1" applyFill="1" applyBorder="1" applyAlignment="1">
      <alignment horizontal="center" vertical="center"/>
    </xf>
    <xf numFmtId="9" fontId="0" fillId="0" borderId="1" xfId="0" applyNumberFormat="1" applyBorder="1" applyAlignment="1">
      <alignment horizontal="left"/>
    </xf>
    <xf numFmtId="0" fontId="7" fillId="8" borderId="2" xfId="0" applyFont="1" applyFill="1" applyBorder="1" applyAlignment="1">
      <alignment horizontal="center" vertical="center"/>
    </xf>
    <xf numFmtId="0" fontId="0" fillId="5" borderId="0" xfId="0" applyFill="1" applyAlignment="1">
      <alignment horizontal="center" vertical="center" wrapText="1"/>
    </xf>
    <xf numFmtId="0" fontId="8" fillId="11" borderId="13" xfId="0" applyFont="1" applyFill="1" applyBorder="1" applyAlignment="1">
      <alignment wrapText="1"/>
    </xf>
    <xf numFmtId="0" fontId="6" fillId="12" borderId="14" xfId="0" applyFont="1" applyFill="1" applyBorder="1" applyAlignment="1">
      <alignment wrapText="1"/>
    </xf>
    <xf numFmtId="0" fontId="2" fillId="0" borderId="0" xfId="0" applyFont="1" applyAlignment="1">
      <alignment vertical="center" wrapText="1"/>
    </xf>
    <xf numFmtId="0" fontId="0" fillId="3" borderId="0" xfId="0" applyFill="1" applyAlignment="1">
      <alignment horizontal="center" vertical="center"/>
    </xf>
    <xf numFmtId="0" fontId="0" fillId="9" borderId="3" xfId="0" applyFill="1" applyBorder="1" applyAlignment="1">
      <alignment horizontal="center"/>
    </xf>
    <xf numFmtId="0" fontId="4" fillId="10" borderId="8" xfId="0" applyFont="1" applyFill="1" applyBorder="1" applyAlignment="1">
      <alignment horizontal="center" vertical="center"/>
    </xf>
    <xf numFmtId="0" fontId="9" fillId="10" borderId="8" xfId="0" applyFont="1" applyFill="1" applyBorder="1" applyAlignment="1">
      <alignment horizontal="center" vertical="center"/>
    </xf>
    <xf numFmtId="0" fontId="4" fillId="6" borderId="15" xfId="0" applyFont="1" applyFill="1" applyBorder="1" applyAlignment="1">
      <alignment horizontal="center" vertical="center" wrapText="1"/>
    </xf>
    <xf numFmtId="0" fontId="0" fillId="5" borderId="16" xfId="0" applyFill="1" applyBorder="1" applyAlignment="1">
      <alignment horizontal="center" vertical="center"/>
    </xf>
    <xf numFmtId="1" fontId="0" fillId="2" borderId="0" xfId="0" applyNumberFormat="1" applyFill="1" applyAlignment="1">
      <alignment horizontal="center" vertical="center"/>
    </xf>
    <xf numFmtId="0" fontId="0" fillId="9" borderId="0" xfId="0" applyFill="1" applyAlignment="1">
      <alignment horizontal="center" vertical="center" textRotation="45"/>
    </xf>
    <xf numFmtId="0" fontId="0" fillId="14" borderId="0" xfId="0" applyFill="1" applyAlignment="1">
      <alignment horizontal="center" vertical="center" textRotation="45"/>
    </xf>
    <xf numFmtId="0" fontId="5" fillId="3" borderId="5" xfId="0" applyFont="1" applyFill="1" applyBorder="1" applyAlignment="1">
      <alignment horizontal="center" vertical="center"/>
    </xf>
    <xf numFmtId="0" fontId="6" fillId="12" borderId="14" xfId="0" applyFont="1" applyFill="1" applyBorder="1" applyAlignment="1">
      <alignment vertical="center" wrapText="1"/>
    </xf>
    <xf numFmtId="0" fontId="8" fillId="11" borderId="12" xfId="0" applyFont="1" applyFill="1" applyBorder="1" applyAlignment="1">
      <alignment vertical="center" wrapText="1"/>
    </xf>
    <xf numFmtId="0" fontId="8" fillId="11" borderId="13" xfId="0" applyFont="1" applyFill="1" applyBorder="1" applyAlignment="1">
      <alignment vertical="center" wrapText="1"/>
    </xf>
    <xf numFmtId="0" fontId="6" fillId="12" borderId="17" xfId="0" applyFont="1" applyFill="1" applyBorder="1" applyAlignment="1">
      <alignment vertical="center" wrapText="1"/>
    </xf>
    <xf numFmtId="0" fontId="10" fillId="12" borderId="14" xfId="0" applyFont="1" applyFill="1" applyBorder="1" applyAlignment="1">
      <alignment vertical="center" wrapText="1"/>
    </xf>
    <xf numFmtId="0" fontId="6" fillId="12" borderId="18" xfId="0" applyFont="1" applyFill="1" applyBorder="1" applyAlignment="1">
      <alignment vertical="center" wrapText="1"/>
    </xf>
    <xf numFmtId="0" fontId="6" fillId="12" borderId="19" xfId="0" applyFont="1" applyFill="1" applyBorder="1" applyAlignment="1">
      <alignment vertical="center" wrapText="1"/>
    </xf>
    <xf numFmtId="0" fontId="0" fillId="0" borderId="0" xfId="0" applyAlignment="1">
      <alignment vertical="center" textRotation="45"/>
    </xf>
    <xf numFmtId="0" fontId="4" fillId="6" borderId="0" xfId="0" applyFont="1" applyFill="1" applyAlignment="1">
      <alignment horizontal="center" vertical="center" wrapText="1"/>
    </xf>
    <xf numFmtId="0" fontId="4" fillId="13" borderId="0" xfId="0" applyFont="1" applyFill="1" applyAlignment="1">
      <alignment horizontal="center" vertical="center" wrapText="1"/>
    </xf>
    <xf numFmtId="1" fontId="0" fillId="5" borderId="0" xfId="0" applyNumberFormat="1" applyFill="1" applyAlignment="1">
      <alignment horizontal="center" vertical="center" wrapText="1"/>
    </xf>
    <xf numFmtId="0" fontId="4" fillId="0" borderId="0" xfId="0" applyFont="1" applyAlignment="1">
      <alignment vertical="center" wrapText="1"/>
    </xf>
    <xf numFmtId="0" fontId="12" fillId="10" borderId="8"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11" xfId="0" applyFont="1" applyFill="1" applyBorder="1" applyAlignment="1">
      <alignment horizontal="center" vertical="center"/>
    </xf>
    <xf numFmtId="0" fontId="5" fillId="3" borderId="5" xfId="0" applyFont="1" applyFill="1" applyBorder="1" applyAlignment="1">
      <alignment horizontal="center" vertical="center"/>
    </xf>
  </cellXfs>
  <cellStyles count="2">
    <cellStyle name="Normal" xfId="0" builtinId="0"/>
    <cellStyle name="Normal 2" xfId="1" xr:uid="{A84B32EB-A692-4249-B59C-AAA7BA5B7B83}"/>
  </cellStyles>
  <dxfs count="151">
    <dxf>
      <font>
        <b/>
        <strike val="0"/>
        <outline val="0"/>
        <shadow val="0"/>
        <u val="none"/>
        <vertAlign val="baseline"/>
        <sz val="10"/>
        <color rgb="FFC00000"/>
        <name val="Roboto"/>
        <scheme val="none"/>
      </font>
    </dxf>
    <dxf>
      <alignment vertical="center" textRotation="0"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fill>
        <patternFill patternType="solid">
          <fgColor indexed="64"/>
          <bgColor theme="4" tint="0.79998168889431442"/>
        </patternFill>
      </fill>
      <alignment horizontal="general" vertical="center" textRotation="0" wrapText="1"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alignment vertical="center" textRotation="0" indent="0" justifyLastLine="0" shrinkToFit="0" readingOrder="0"/>
    </dxf>
    <dxf>
      <numFmt numFmtId="1"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vertical="center"/>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vertical="center"/>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13" formatCode="0%"/>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4" tint="0.79998168889431442"/>
        </patternFill>
      </fill>
      <alignment horizontal="center" vertical="center" textRotation="0" wrapText="0" indent="0" justifyLastLine="0" shrinkToFit="0" readingOrder="0"/>
    </dxf>
    <dxf>
      <numFmt numFmtId="0" formatCode="General"/>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0"/>
        <color rgb="FFC00000"/>
        <name val="Roboto"/>
        <scheme val="none"/>
      </font>
      <fill>
        <patternFill patternType="solid">
          <fgColor indexed="64"/>
          <bgColor theme="5" tint="0.59999389629810485"/>
        </patternFill>
      </fill>
      <alignment horizontal="center" vertical="center" textRotation="0" wrapText="1" indent="0" justifyLastLine="0" shrinkToFit="0" readingOrder="0"/>
    </dxf>
    <dxf>
      <fill>
        <patternFill patternType="solid">
          <fgColor indexed="64"/>
          <bgColor theme="5" tint="0.59999389629810485"/>
        </patternFill>
      </fill>
      <alignment horizontal="center" vertical="center" textRotation="0" wrapText="1" indent="0" justifyLastLine="0" shrinkToFit="0" readingOrder="0"/>
    </dxf>
    <dxf>
      <font>
        <b/>
        <i val="0"/>
        <strike val="0"/>
        <condense val="0"/>
        <extend val="0"/>
        <outline val="0"/>
        <shadow val="0"/>
        <u val="none"/>
        <vertAlign val="baseline"/>
        <sz val="10"/>
        <color rgb="FFC00000"/>
        <name val="Roboto"/>
        <scheme val="none"/>
      </font>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strike val="0"/>
        <outline val="0"/>
        <shadow val="0"/>
        <u val="none"/>
        <vertAlign val="baseline"/>
        <sz val="10"/>
        <color rgb="FFC00000"/>
        <name val="Roboto"/>
        <scheme val="none"/>
      </font>
    </dxf>
    <dxf>
      <alignment vertical="center" textRotation="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1FDE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9</xdr:row>
      <xdr:rowOff>133350</xdr:rowOff>
    </xdr:from>
    <xdr:to>
      <xdr:col>11</xdr:col>
      <xdr:colOff>638175</xdr:colOff>
      <xdr:row>21</xdr:row>
      <xdr:rowOff>95250</xdr:rowOff>
    </xdr:to>
    <xdr:pic>
      <xdr:nvPicPr>
        <xdr:cNvPr id="4" name="Imagen 1">
          <a:extLst>
            <a:ext uri="{FF2B5EF4-FFF2-40B4-BE49-F238E27FC236}">
              <a16:creationId xmlns:a16="http://schemas.microsoft.com/office/drawing/2014/main" id="{B40CE333-DDE6-0C97-2849-14C3DFC7360F}"/>
            </a:ext>
          </a:extLst>
        </xdr:cNvPr>
        <xdr:cNvPicPr>
          <a:picLocks noChangeAspect="1"/>
        </xdr:cNvPicPr>
      </xdr:nvPicPr>
      <xdr:blipFill>
        <a:blip xmlns:r="http://schemas.openxmlformats.org/officeDocument/2006/relationships" r:embed="rId1"/>
        <a:stretch>
          <a:fillRect/>
        </a:stretch>
      </xdr:blipFill>
      <xdr:spPr>
        <a:xfrm>
          <a:off x="238125" y="2133600"/>
          <a:ext cx="6715125" cy="1905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ia Catalina Landinez Velandia" id="{9EF5FA43-50E7-445E-9B83-FE2335F608E1}" userId="S::38500446@claro.com.co::27943cdc-634d-4867-92a8-0cc062ba541f" providerId="AD"/>
  <person displayName="Diana Catalina Martinez Roa" id="{730D6F78-8A23-4FE9-934B-2579A71C67E2}" userId="S::46106294@claro.com.co::2aa6ed23-f9d6-4b3f-adb7-1a7246a39c78" providerId="AD"/>
  <person displayName="Rosa Patricia Garcia Polo" id="{53A256FB-5222-4BF2-AB42-D72ADE9EDFB6}" userId="S::46122505@claro.com.co::5299ee85-b83b-49f9-901e-39c74dc6524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E4D74-7ACB-4B6A-A760-10E5409B84F3}" name="Tabla13" displayName="Tabla13" ref="B1:M13" totalsRowShown="0" headerRowDxfId="150" dataDxfId="149" totalsRowDxfId="148">
  <autoFilter ref="B1:M13" xr:uid="{964A8A48-8B65-44AE-90CB-D606FB5C5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2" xr3:uid="{976EFFBC-C5DF-4559-A41F-A7EB6FDE3711}" name="Criterio" dataDxfId="147"/>
    <tableColumn id="4" xr3:uid="{BF65019A-0EFC-4894-A1BB-BB09FD164302}" name="Respuesta/Indicador" dataDxfId="146" totalsRowDxfId="145"/>
    <tableColumn id="7" xr3:uid="{0639C48B-A988-4A30-80B4-044C72B8F7CF}" name="Máximo de puntos a evaluar" dataDxfId="144" totalsRowDxfId="143"/>
    <tableColumn id="8" xr3:uid="{175EDA1B-D568-44D8-B45C-1BB286598AA7}" name="NAE" dataDxfId="142" totalsRowDxfId="141"/>
    <tableColumn id="12" xr3:uid="{9C26F842-25CA-47EE-A27F-EE4A44FCFF18}" name="WAVENET" dataDxfId="140" totalsRowDxfId="139"/>
    <tableColumn id="9" xr3:uid="{DBB6DBAA-8B40-44BC-8890-B81E7044BC97}" name="ORACLE" dataDxfId="138"/>
    <tableColumn id="10" xr3:uid="{6527B0C9-7D3E-4DFC-9282-95845535D7CE}" name="HITSS" dataDxfId="137" totalsRowDxfId="136"/>
    <tableColumn id="1" xr3:uid="{F077DFD4-9A5E-44E0-8B16-09C428F81165}" name="BLIPBLIP" dataDxfId="135" totalsRowDxfId="134"/>
    <tableColumn id="3" xr3:uid="{07495184-03ED-4FAC-ABD9-47CA5DA99B1B}" name="LARAIGO" dataDxfId="133" totalsRowDxfId="132"/>
    <tableColumn id="5" xr3:uid="{A2D77922-04B5-48D5-B866-30395D2339CF}" name="FONYOU" dataDxfId="131" totalsRowDxfId="130"/>
    <tableColumn id="6" xr3:uid="{B6FDAD46-22D2-4462-BA8F-61AE83B63C70}" name="SIXBELL" dataDxfId="129" totalsRowDxfId="128"/>
    <tableColumn id="11" xr3:uid="{0DEB84B6-2A15-491F-B874-1EA56F6A8777}" name="PRONÓSTICA" dataDxfId="127" totalsRowDxfId="126"/>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3591FE-1336-4CDD-B97B-D8DB55659D41}" name="Tabla138" displayName="Tabla138" ref="B1:M31" totalsRowShown="0" headerRowDxfId="125" dataDxfId="124" totalsRowDxfId="123">
  <autoFilter ref="B1:M31" xr:uid="{964A8A48-8B65-44AE-90CB-D606FB5C5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2" xr3:uid="{08D62115-2730-468A-A9F7-E918A9497A89}" name="Criterio" dataDxfId="122" totalsRowDxfId="121"/>
    <tableColumn id="4" xr3:uid="{9BA6FC68-FB8B-477E-87EB-8B5DBF366C06}" name="Respuesta/Indicador" dataDxfId="120" totalsRowDxfId="119"/>
    <tableColumn id="7" xr3:uid="{B96E7410-E65B-4902-A8F0-C9B1BDCA2840}" name="Máximo de puntos a evaluar" dataDxfId="118" totalsRowDxfId="117"/>
    <tableColumn id="10" xr3:uid="{CCF0CBCD-F012-422D-BD37-7EE7F74CFC61}" name="NAE" dataDxfId="116" totalsRowDxfId="115"/>
    <tableColumn id="8" xr3:uid="{38327A76-A587-4BBE-A9CD-B090F4AD11DD}" name="WAVENET" dataDxfId="114" totalsRowDxfId="113"/>
    <tableColumn id="9" xr3:uid="{3EAEE116-860B-4BF4-B8BC-9638F155DD48}" name="ORACLE" dataDxfId="112" totalsRowDxfId="111"/>
    <tableColumn id="12" xr3:uid="{3A388669-5DFB-459F-9A28-3A08B5F38D59}" name="HITSS" dataDxfId="110" totalsRowDxfId="109"/>
    <tableColumn id="1" xr3:uid="{E5828ACD-9790-4E84-BDD9-E8B39E3B23D7}" name="BLIPBLIP" dataDxfId="108" totalsRowDxfId="107"/>
    <tableColumn id="3" xr3:uid="{BA227440-EEF3-417B-8D51-2136412C0023}" name="LARAIGO" dataDxfId="106" totalsRowDxfId="105"/>
    <tableColumn id="5" xr3:uid="{6BFB6703-3462-4740-9D37-F9B701721891}" name="FONYOU" dataDxfId="104" totalsRowDxfId="103"/>
    <tableColumn id="6" xr3:uid="{A273683D-63DF-48F7-9BCD-CE795D3E179F}" name="SIXBELL" dataDxfId="102" totalsRowDxfId="101"/>
    <tableColumn id="17" xr3:uid="{24A7248E-7925-418E-A8FE-5C833DDBDDDE}" name="PRONÓSTICA" dataDxfId="100" totalsRowDxfId="99"/>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5A0ACC-A6F6-4F14-80BB-3DB0A47CAF33}" name="Tabla138964" displayName="Tabla138964" ref="B1:L18" totalsRowShown="0" headerRowDxfId="98" dataDxfId="97" totalsRowDxfId="96">
  <autoFilter ref="B1:L18" xr:uid="{964A8A48-8B65-44AE-90CB-D606FB5C5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2" xr3:uid="{D4D9CC6D-D2F3-4841-B982-216EC187CE1F}" name="Criterio" totalsRowDxfId="95"/>
    <tableColumn id="4" xr3:uid="{428AD1DD-9F52-4DC9-8942-C6434BEC2065}" name="Respuesta/Indicador" totalsRowDxfId="94"/>
    <tableColumn id="7" xr3:uid="{A1C4861A-E079-4B0E-BD01-983F02FD00DE}" name="Máximo de puntos a evaluar" dataDxfId="93" totalsRowDxfId="92"/>
    <tableColumn id="10" xr3:uid="{E918AA47-E7C6-416C-BE1D-F409452ADF63}" name="NAE" dataDxfId="91" totalsRowDxfId="90"/>
    <tableColumn id="8" xr3:uid="{BDF10B88-4EB1-48AA-8A58-D6A01129BA9D}" name="WAVENET" dataDxfId="89" totalsRowDxfId="88"/>
    <tableColumn id="9" xr3:uid="{B35F90AD-1D8E-4C40-940A-BE59FBBC2C84}" name="ORACLE" dataDxfId="87" totalsRowDxfId="86"/>
    <tableColumn id="12" xr3:uid="{E391652F-FC7C-4CDB-8717-355278900757}" name="HITSS" dataDxfId="85" totalsRowDxfId="84"/>
    <tableColumn id="1" xr3:uid="{88237EBE-0E54-4D70-B960-1A374B2CCBEE}" name="BLIPBLIP" dataDxfId="83" totalsRowDxfId="82"/>
    <tableColumn id="3" xr3:uid="{78DFABA3-F781-45AC-B5E7-06EF96FED179}" name="LARAIGO" dataDxfId="81" totalsRowDxfId="80"/>
    <tableColumn id="5" xr3:uid="{FE1B9C96-9F23-4F17-B566-2D02401BAB97}" name="FONYOU" dataDxfId="79" totalsRowDxfId="78"/>
    <tableColumn id="6" xr3:uid="{189B0736-311D-4A7A-9BDD-A2775F24755E}" name="SIXBELL" dataDxfId="77" totalsRowDxfId="76"/>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D8895D-B07F-4EDF-BFD3-0328C20530A0}" name="Tabla13896" displayName="Tabla13896" ref="E1:P270" totalsRowShown="0" headerRowDxfId="75" dataDxfId="74" totalsRowDxfId="73">
  <autoFilter ref="E1:P270" xr:uid="{A7D8895D-B07F-4EDF-BFD3-0328C20530A0}"/>
  <tableColumns count="12">
    <tableColumn id="2" xr3:uid="{458E6CE7-5AB7-4BA4-9053-E49F62C804F6}" name="Criterio" dataDxfId="72" totalsRowDxfId="71"/>
    <tableColumn id="4" xr3:uid="{8F5A8A36-100F-41CF-B073-CAFDE3D0B496}" name="Respuesta/Indicador" dataDxfId="70" totalsRowDxfId="69"/>
    <tableColumn id="7" xr3:uid="{BF8B5ABB-418A-4DB0-AA36-7FF18B7436B9}" name="Máximo de puntos a evaluar" dataDxfId="68" totalsRowDxfId="67"/>
    <tableColumn id="10" xr3:uid="{D40E8A29-A0E8-4B93-9573-4A5106F1B369}" name="NAE" dataDxfId="66" totalsRowDxfId="65"/>
    <tableColumn id="8" xr3:uid="{A90055B1-381D-40A7-8173-F23095A79FDB}" name="WAVENET" dataDxfId="64" totalsRowDxfId="63"/>
    <tableColumn id="9" xr3:uid="{2253F957-7876-49AE-9D2A-78755D1D734B}" name="ORACLE" dataDxfId="62" totalsRowDxfId="61"/>
    <tableColumn id="12" xr3:uid="{E8F075EC-3D59-44F0-A6CA-67B409D6AD4D}" name="HITSS" dataDxfId="60"/>
    <tableColumn id="1" xr3:uid="{52867201-F385-4397-8B46-9FF5D9E33833}" name="BLIPBLIP" dataDxfId="59" totalsRowDxfId="58"/>
    <tableColumn id="3" xr3:uid="{14E8A77C-D939-4701-8AD0-DE81E9017AB2}" name="LARAIGO" dataDxfId="57" totalsRowDxfId="56"/>
    <tableColumn id="5" xr3:uid="{FA02F34D-5D0C-472E-B8EB-ECB9C4C8FD80}" name="FONYOU" dataDxfId="55" totalsRowDxfId="54"/>
    <tableColumn id="6" xr3:uid="{F43AF76C-E6DB-4055-B27A-77C10BEDFD72}" name="SIXBELL" dataDxfId="53" totalsRowDxfId="52"/>
    <tableColumn id="11" xr3:uid="{AB1D8F35-23E6-492E-BC65-5311454AC4EA}" name="PRONÓSTICA" dataDxfId="51" totalsRowDxfId="50"/>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44A8F4-3EDF-4F7B-88D4-C8EFFDAA5447}" name="Tabla1389" displayName="Tabla1389" ref="B1:M23" totalsRowShown="0" headerRowDxfId="49" dataDxfId="48" totalsRowDxfId="47">
  <autoFilter ref="B1:M23" xr:uid="{964A8A48-8B65-44AE-90CB-D606FB5C5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2" xr3:uid="{5B55870B-E931-47ED-9E3E-BBE439F0732E}" name="Criterio" dataDxfId="46" totalsRowDxfId="45"/>
    <tableColumn id="4" xr3:uid="{CE376678-3F11-43B6-97CF-55B8F25A592F}" name="Respuesta/Indicador" dataDxfId="44" totalsRowDxfId="43"/>
    <tableColumn id="7" xr3:uid="{800FD4A4-6391-4595-9067-FB8A56C9340D}" name="Máximo de puntos a evaluar" dataDxfId="42" totalsRowDxfId="41"/>
    <tableColumn id="10" xr3:uid="{636C0B36-BCCA-4B8A-98B7-5458BC3DCCD3}" name="NAE" dataDxfId="40" totalsRowDxfId="39"/>
    <tableColumn id="8" xr3:uid="{E7DB21EF-AF5D-48BF-81C1-8014629E48D3}" name="WAVENET" dataDxfId="38" totalsRowDxfId="37"/>
    <tableColumn id="9" xr3:uid="{CC6170C9-4A8F-4C91-8DAE-E3DD6320FFCA}" name="ORACLE" dataDxfId="36" totalsRowDxfId="35"/>
    <tableColumn id="12" xr3:uid="{FC4790B9-B0F3-4635-803C-3A1F679B8013}" name="HITSS" dataDxfId="34" totalsRowDxfId="33"/>
    <tableColumn id="1" xr3:uid="{DEEF08DD-25B1-4BFF-8A22-FBB44CFBE832}" name="BLIPBLIP" dataDxfId="32" totalsRowDxfId="31"/>
    <tableColumn id="3" xr3:uid="{78BF460D-F0EF-47F2-81BE-C72F9A59BF91}" name="LARAIGO" dataDxfId="30" totalsRowDxfId="29"/>
    <tableColumn id="5" xr3:uid="{B65A0316-E73B-4A15-99B0-08A5EE376AEF}" name="FONYOU" dataDxfId="28" totalsRowDxfId="27"/>
    <tableColumn id="6" xr3:uid="{9D01ED2B-EEDF-4592-852F-AE9D50669143}" name="SIXBELL" dataDxfId="26" totalsRowDxfId="25"/>
    <tableColumn id="11" xr3:uid="{8526B3A7-0704-4A76-8A7F-6964E4D81491}" name="PRONÓSTICA" dataDxfId="24" totalsRowDxfId="23"/>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F2C07-A5B1-417C-A809-D8AAB0942DC5}" name="Tabla13892" displayName="Tabla13892" ref="B1:M9" totalsRowShown="0" headerRowDxfId="22" dataDxfId="21" totalsRowDxfId="20">
  <autoFilter ref="B1:M9" xr:uid="{964A8A48-8B65-44AE-90CB-D606FB5C5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2" xr3:uid="{3F27C7F3-BDC9-4754-B100-1398977C26A0}" name="Criterio" dataDxfId="19" totalsRowDxfId="18"/>
    <tableColumn id="4" xr3:uid="{009B6733-2FC5-4DF9-9083-C399A8782686}" name="Respuesta/Indicador" dataDxfId="17" totalsRowDxfId="16"/>
    <tableColumn id="7" xr3:uid="{6805B287-0F79-48E4-968F-7266A731BB4E}" name="Máximo de puntos a evaluar" dataDxfId="15" totalsRowDxfId="14"/>
    <tableColumn id="10" xr3:uid="{1179762D-7884-43DD-8F06-42A88718F9DD}" name="NAE" dataDxfId="13"/>
    <tableColumn id="8" xr3:uid="{21AFB507-1C06-4AD7-9ECF-06251A2869F2}" name="WAVENET" dataDxfId="12"/>
    <tableColumn id="9" xr3:uid="{D83B548C-582E-425D-A1C0-827A79ADEDEF}" name="ORACLE" dataDxfId="11"/>
    <tableColumn id="12" xr3:uid="{49582FA1-ADE2-4D76-AF22-DF87539362C3}" name="HITSS" dataDxfId="10"/>
    <tableColumn id="1" xr3:uid="{DA231287-F566-4CDC-A06D-34E589B24EB2}" name="BLIPBLIP" dataDxfId="9" totalsRowDxfId="8"/>
    <tableColumn id="3" xr3:uid="{0BFBC424-FC43-4AD2-B94D-1044D5751EC5}" name="LARAIGO" dataDxfId="7" totalsRowDxfId="6"/>
    <tableColumn id="5" xr3:uid="{4A4BCF2A-C472-49F4-86C5-CEE40D0D6358}" name="FONYOU" dataDxfId="5" totalsRowDxfId="4"/>
    <tableColumn id="6" xr3:uid="{1EA9508D-1E19-4EF6-BE90-2E01C18A8203}" name="SIXBELL" dataDxfId="3" totalsRowDxfId="2"/>
    <tableColumn id="11" xr3:uid="{FA6330EA-CC53-4BBD-9417-2A1E4C2EA0EB}" name="PRONÓSTICA" dataDxfId="1" totalsRowDxfId="0"/>
  </tableColumns>
  <tableStyleInfo name="TableStyleMedium1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5-04-10T21:42:08.41" personId="{730D6F78-8A23-4FE9-934B-2579A71C67E2}" id="{9BB29C33-632B-454E-9E8F-0A239B199A00}">
    <text>LISA utiliza modelos de inteligencia artificial de última generación, incluyendo algoritmos generativos para la interpretación automática de documentación técnica y modelos predictivos.</text>
  </threadedComment>
  <threadedComment ref="G2" dT="2025-04-10T22:13:59.35" personId="{53A256FB-5222-4BF2-AB42-D72ADE9EDFB6}" id="{FAC72C1B-F6B9-4E6E-9813-227B3008CD1A}">
    <text xml:space="preserve">Múltiples modelos de entrenamiento Natural (Language Understanding – NLU) para predicción de intenciones </text>
  </threadedComment>
  <threadedComment ref="H2" dT="2025-04-10T21:40:29.89" personId="{730D6F78-8A23-4FE9-934B-2579A71C67E2}" id="{C072308C-381C-4121-BACC-3931A7DA51D3}">
    <text>La solución propuesta por GlobalHitss contempla el desarrollo e implementación de una 
plataforma conversacional basada en inteligencia artificial.</text>
  </threadedComment>
  <threadedComment ref="I2" dT="2025-04-11T12:41:02.58" personId="{9EF5FA43-50E7-445E-9B83-FE2335F608E1}" id="{FA7A2FB7-C2DE-428A-B02A-03E404EA537A}">
    <text>- NLP avanzado (Gemini / Azure Text Analytics /GCP Text analytics) o su 
equivalente.
- Análisis de emociones en tiempo real, interpretación de textos, imágenes y 
audios (speech-to-text)</text>
  </threadedComment>
  <threadedComment ref="J2" dT="2025-04-11T13:57:21.89" personId="{9EF5FA43-50E7-445E-9B83-FE2335F608E1}" id="{0741DCCC-157C-47A3-94DF-11A63922CD1A}">
    <text>Laraigo, permite integrarse con cualquier proveedor de inteligencia artificial, para el procesamiento de texto, imágenes, audio, etc. Permitiendo a las empresas, acceder de manera fácil e intuitiva a las nuevas tecnologías como Inteligencia Artificial Conversacional (watsonx Assistant, DialogFlow, etc). Asimismo, la integración con inteligencia artificial generativa (OpenAI, Llama, watsonx.ai, DeepSeek, etc).
Utiliza la inteligencia artificial generativa para poder crear asistentes especializados, personaliza tu asistente con instrucciones de calidad para la atención del cliente y una base de conocimiento necesaria para responder adecuadamente sobre el tema que queramos que se atienda</text>
  </threadedComment>
  <threadedComment ref="L2" dT="2025-04-11T15:09:58.06" personId="{730D6F78-8A23-4FE9-934B-2579A71C67E2}" id="{CB4E605C-E223-4D11-8BBA-AB2A01F1A7A0}">
    <text>Asistente Virtual Inteligente: Automatización de respuestas con IA para consultas frecuentes.</text>
  </threadedComment>
  <threadedComment ref="M2" dT="2025-04-11T17:21:02.99" personId="{730D6F78-8A23-4FE9-934B-2579A71C67E2}" id="{83C506F6-53B5-4063-A78D-B519BF87F8C4}">
    <text>Modelo de IA Generativa
•Entrega agente de IA entrenado, integrado y desplegado.</text>
  </threadedComment>
  <threadedComment ref="E3" dT="2025-04-10T21:42:24.22" personId="{730D6F78-8A23-4FE9-934B-2579A71C67E2}" id="{E9C1F477-6CCD-4D3A-AEA6-F6BD3E0DEA5E}">
    <text>El sistema, utiliza modelos de aprendizaje supervisados y no supervisados para la mejora continua. En el supervisado, un experto revisa las respuestas dadas por el sistema e indica la respuesta correcta en caso de error. En no supervisado, este entrenamiento se hace de manera automatizada, evaluando la respuesta del usuario a la información proporcionada y la interacción posterior del usuario con el sistema. El uso de datos de prueba y validación garantiza que las adaptaciones de los modelos mantengan la calidad de las respuestas en el máximo nivel.</text>
  </threadedComment>
  <threadedComment ref="G3" dT="2025-04-10T22:16:41.97" personId="{53A256FB-5222-4BF2-AB42-D72ADE9EDFB6}" id="{49CBF907-7019-42DF-B558-DF17F6FCF926}">
    <text xml:space="preserve">Múltiples modelos de entrenamiento Natural (Language Understanding – NLU) para predicción de intenciones. </text>
  </threadedComment>
  <threadedComment ref="H3" dT="2025-04-10T21:40:41.73" personId="{730D6F78-8A23-4FE9-934B-2579A71C67E2}" id="{532A5F85-9165-4884-B30F-4C9CF96E220A}">
    <text>Propende por la construcción de un 
conocimiento estructurado en analítica especializada, capaz de evolucionar con 
oportunidad y efectividad hacia las tendencias de machine learning y evaluación de 
impacto y efectividad de los modelos.</text>
  </threadedComment>
  <threadedComment ref="I3" dT="2025-04-11T12:42:34.64" personId="{9EF5FA43-50E7-445E-9B83-FE2335F608E1}" id="{DE7CC034-B56A-4690-B905-E8871CCEDA42}">
    <text> Análisis de emociones - Las Herramientas de IA como Gemini, y otros modelos lingüísticos (LLM) pueden detectar diversas emociones en el texto basándose en patrones lingüísticos, palabras clave y claves contextuales. Sin embargo, no "sienten" emociones, sino que las predicen utilizando datos entrenados. Es importante contar con datos claves de entrenamiento para el 
modelo, de lo contrario habrá que construirlo desde el día 0</text>
  </threadedComment>
  <threadedComment ref="J3" dT="2025-04-11T13:58:35.08" personId="{9EF5FA43-50E7-445E-9B83-FE2335F608E1}" id="{3575B4FC-242E-444A-8631-B088733773B8}">
    <text>Laraigo permite entrenar un modelo desde cero, para la detección de intenciones o entidades y estas emplearlas en el flujo conversacional para las diferentes lógicas que se requieran.
También permite entrenar modelos pre entrenados con bases de conocimientos compartidas e instrucciones, como los que ofrecen Open AI, Meta, Mistral, Azure, y más. Configúralos en tu flujo conversacional como asistentes frente a consultas mas complejas que puedan tener los clientes.</text>
  </threadedComment>
  <threadedComment ref="L3" dT="2025-04-11T15:10:33.68" personId="{730D6F78-8A23-4FE9-934B-2579A71C67E2}" id="{00157F38-FCB2-44DE-9158-40D8896D3EED}">
    <text>Integración con Sistemas de CLARO: Acceso a información en tiempo real desde CRM y bases de datos internas.
➢ Optimización de Respuestas y Análisis de Datos: Medición y mejora continua basada en interacción con IA.</text>
  </threadedComment>
  <threadedComment ref="L3" dT="2025-04-11T15:12:41.03" personId="{730D6F78-8A23-4FE9-934B-2579A71C67E2}" id="{2846E402-A339-4A8A-8278-3702634821D4}" parentId="{00157F38-FCB2-44DE-9158-40D8896D3EED}">
    <text>Asistente Virtual con IA para responder consultas técnicas en tiempo real.
o Registro y análisis de interacciones para mejora continua.
o Análisis de emociones para adaptar respuestas</text>
  </threadedComment>
  <threadedComment ref="M3" dT="2025-04-11T17:56:17.73" personId="{730D6F78-8A23-4FE9-934B-2579A71C67E2}" id="{A1B60F63-F076-411B-981E-751BD156983A}">
    <text>Anexo - IBM watsonx Orchestrate</text>
  </threadedComment>
  <threadedComment ref="E4" dT="2025-04-10T21:42:37.39" personId="{730D6F78-8A23-4FE9-934B-2579A71C67E2}" id="{C96E7912-13E4-4B36-84CC-AD8C872128F7}">
    <text>LISA está diseñada para ser una solución altamente configurable, lo que permite su adaptación sin requerir conocimientos técnicos avanzados. Esto significa que cualquier usuario con una comprensión básica del negocio puede ajustar los flujos y personalizar la herramienta para maximizar su rendimiento en situaciones específicas. Esta capacidad de personalización
garantiza que los procesos diseñados se alineen con los objetivos operativos del cliente, logrando el máximo aprovechamiento de las funcionalidades del sistema.</text>
  </threadedComment>
  <threadedComment ref="K4" dT="2025-04-11T16:54:07.43" personId="{9EF5FA43-50E7-445E-9B83-FE2335F608E1}" id="{4171105F-9938-4F80-9C54-973B1F2A31BD}">
    <text>Con los años, fonYou ha conseguido desarrollar una avanzada lógica de inteligencia de negocio que le permite mediante la aplicación de algoritmos de Machine Learning, conocer y segmentar a los usuarios, alcanzando altos niveles de personalización.</text>
  </threadedComment>
  <threadedComment ref="L4" dT="2025-04-11T15:22:02.73" personId="{730D6F78-8A23-4FE9-934B-2579A71C67E2}" id="{3A63603B-4272-4609-B9FB-600C9FD36A52}">
    <text>Este nivel de personalización a nivel de tipos de consulta puede personalizarse durante la etapa de setup del proyecto según las necesidades de Claro, y luego puede continuar ajustándose durante la fase de mantenimiento y mejora contínua.</text>
  </threadedComment>
  <threadedComment ref="E5" dT="2025-04-10T21:43:30.51" personId="{730D6F78-8A23-4FE9-934B-2579A71C67E2}" id="{66365E4B-FE11-4B26-AA55-BD7E73468196}">
    <text>La solución incorpora, además, un sistema avanzado de caché para reducir el número de conversiones y, así, reducir el coste y las latencias de generación, permitiendo, de esta manera, obtener la mejor experiencia del usuario. La solución generará informes online del uso de estos recursos, número de solicitudes, tiempo de generación, acumulación tiempo de audios, errores de generación, longitud de los textos utilizados.</text>
  </threadedComment>
  <threadedComment ref="G5" dT="2025-04-10T22:26:21.05" personId="{53A256FB-5222-4BF2-AB42-D72ADE9EDFB6}" id="{F99E0C92-F962-416C-AD5C-0478EC91B99A}">
    <text xml:space="preserve">Se monitoreará la cantidad de conversaciones y su efectividad durante el primer trimestre productivo y se realizarán ajustes de ser necesario a la capacidad incluida. A convenir entre las partes según el siguiente método para el Cálculo Propuesto: • C (Cumplimiento de los objetivos del servicio): En este caso, es el cumplimiento de las 150,000 conversaciones definidas. Este valor se calcula como el porcentaje de conversaciones que cumplen con el objetivo sobre el total de conversaciones definidas. • S (Cumplimiento de los 8 casos de uso productivos): El cumplimiento de los 8 casos de uso productivos se calcula como el porcentaje de casos de usoproductivos cumplidos respecto al total definido (8 casos). • Fórmula propuesta, E &gt; 90% </text>
  </threadedComment>
  <threadedComment ref="H5" dT="2025-04-10T22:40:20.55" personId="{730D6F78-8A23-4FE9-934B-2579A71C67E2}" id="{4AF50980-CB85-4A4F-BFDE-53EB75518983}">
    <text>▪ Modelos Predictivos R: Implementación de algoritmos de machine learning en Python y R principalmente para la segmentación de clientes, predicción de churn 
y optimización de ingresos.
▪ Visualización y Reportería: Creación de tableros dinámicos en Power BI y 
Tableau, facilitando el acceso a insights clave en tiempo real.</text>
  </threadedComment>
  <threadedComment ref="I5" dT="2025-04-11T13:23:07.99" personId="{9EF5FA43-50E7-445E-9B83-FE2335F608E1}" id="{AABAE86F-1C09-433E-9930-E5CF5771953F}">
    <text>Monitorear performance
de IA y APIs.</text>
  </threadedComment>
  <threadedComment ref="K5" dT="2025-04-11T16:55:32.32" personId="{9EF5FA43-50E7-445E-9B83-FE2335F608E1}" id="{6CB92190-66DD-40FC-9832-6E76D9538A95}">
    <text>La propuesta contempla una plataforma de monitoreo que muestra el estado de los servicios que conforman la arquitectura modular</text>
  </threadedComment>
  <threadedComment ref="L5" dT="2025-04-11T15:17:54.44" personId="{730D6F78-8A23-4FE9-934B-2579A71C67E2}" id="{CC31B01A-10D2-4109-9F2E-5924A9490266}">
    <text>El monitoreo del servicio se llevará a cabo mediante las herramientas Cloud Logging y Cloud Monitoring de Google Cloud Platform. Tanto los aspectos de infraestructura como características propias del servicio como la latencia de respuestas, cantidad de consultas procesadas, porcentaje de errores, interrupciones en las integraciones, entre otros, serán considerados para la creación de métricas asociadas a dashboards y a alertas.</text>
  </threadedComment>
  <threadedComment ref="M5" dT="2025-04-11T17:56:17.73" personId="{730D6F78-8A23-4FE9-934B-2579A71C67E2}" id="{D806817C-E7AD-4D89-8509-75074341FADC}">
    <text>Anexo - IBM watsonx Orchestrate</text>
  </threadedComment>
  <threadedComment ref="E6" dT="2025-04-10T21:43:39.88" personId="{730D6F78-8A23-4FE9-934B-2579A71C67E2}" id="{20171188-C8D2-4ABB-AAB9-8A4A43CE518C}">
    <text>La arquitectura nativa en la nube de LISA está diseñada para ser altamente adaptable y compatible con diversos entornos de infraestructura de nube, ya sean públicos o privados. Esto significa que la solución puede ser implementada sin problemas en plataformas como AWS, Azure, Google Cloud Platform u otras infraestructuras
basadas en la nube.</text>
  </threadedComment>
  <threadedComment ref="G6" dT="2025-04-10T22:30:20.28" personId="{53A256FB-5222-4BF2-AB42-D72ADE9EDFB6}" id="{025FB640-0EB7-4B79-98E5-9E0213337405}">
    <text xml:space="preserve">Análisis de uso y rendimiento que proporciona información procesable sobre las diferentes métricas de uso de los canales. </text>
  </threadedComment>
  <threadedComment ref="H6" dT="2025-04-10T22:41:46.21" personId="{730D6F78-8A23-4FE9-934B-2579A71C67E2}" id="{1B7793C1-B61C-49FD-8B8F-8F427E5E6639}">
    <text> Infraestructura de Datos: Utilización de bases de datos robustas y herramientas de procesamiento masivo como Teradata, PostgreSQL y Oracle para la consolidación de información.</text>
  </threadedComment>
  <threadedComment ref="I6" dT="2025-04-11T12:58:15.48" personId="{9EF5FA43-50E7-445E-9B83-FE2335F608E1}" id="{039F8D05-4ED7-4D29-B914-CE4D22D0FC5A}">
    <text>On-Premise/Cloud: Opción de hospedaje en AWS/GCP.</text>
  </threadedComment>
  <threadedComment ref="J6" dT="2025-04-11T14:07:19.30" personId="{9EF5FA43-50E7-445E-9B83-FE2335F608E1}" id="{3CA0EF17-06D9-4425-961F-4776C731653F}">
    <text>Laraigo se encuentra desplegado en una plataforma Cloud en un entorno de alta disponibilidad con cobertura en múltiples zonas para sus diversos componentes.
Esta plataforma combina la oferta de plataforma como servicio (PaaS) con infraestructura como servicio (IaaS) para proporcionar una experiencia integrada y eficiente.</text>
  </threadedComment>
  <threadedComment ref="K6" dT="2025-04-11T17:03:30.28" personId="{9EF5FA43-50E7-445E-9B83-FE2335F608E1}" id="{8F12F868-8599-4EA8-91B3-AD9A0FBDE678}">
    <text>Los productos y servicios fonYou tienen como objetivo reducir el Time To Market, gracias a los módulos flexibles y a la arquitectura adaptable en Cloud.</text>
  </threadedComment>
  <threadedComment ref="L6" dT="2025-04-11T15:24:16.53" personId="{730D6F78-8A23-4FE9-934B-2579A71C67E2}" id="{3063BDE8-ACC8-4765-BB0D-EC8F552E0F1A}">
    <text>Los servicios de Sixbell/Adereso cuentan con arquitectura altamente disponible y escalable, dentro de Google Cloud, según se indica en el Anexo 1 de arquitectura y seguridad.</text>
  </threadedComment>
  <threadedComment ref="M6" dT="2025-04-11T17:26:48.26" personId="{730D6F78-8A23-4FE9-934B-2579A71C67E2}" id="{5B5A8CC6-64C2-430B-875C-B154C0169C59}">
    <text>Anexo - Condiciones generales para las ofertas de cloud</text>
  </threadedComment>
  <threadedComment ref="E7" dT="2025-04-10T21:43:50.41" personId="{730D6F78-8A23-4FE9-934B-2579A71C67E2}" id="{787D53BE-553A-4F1F-A356-E5F7082662CD}">
    <text>LISA soporta una arquitectura multitenant, lo que permite configurar flujos específicos para cada tenant de manera independiente. Esto facilita la segmentación y administración de los
servicios según las necesidades de cada área de negocio. Además, la integración con múltiples canales de atención, como web, chat, WhatsApp y voz, proporciona flexibilidad para que los técnicos puedan interactuar con la solución desde diferentes entornos, mejorando la cobertura y la accesibilidad en el soporte en campo.</text>
  </threadedComment>
  <threadedComment ref="G7" dT="2025-04-10T22:30:45.37" personId="{53A256FB-5222-4BF2-AB42-D72ADE9EDFB6}" id="{0C01262A-18F2-49FD-ABD2-9111BFF31B6B}">
    <text xml:space="preserve">Análisis de uso y rendimiento que proporciona información procesable sobre las diferentes métricas de uso de los canales. 
</text>
  </threadedComment>
  <threadedComment ref="H7" dT="2025-04-10T22:41:46.21" personId="{730D6F78-8A23-4FE9-934B-2579A71C67E2}" id="{DBF59A18-6B2C-4DEB-A82C-013070C7553D}">
    <text> Infraestructura de Datos: Utilización de bases de datos robustas y herramientas de procesamiento masivo como Teradata, PostgreSQL y Oracle para la consolidación de información.</text>
  </threadedComment>
  <threadedComment ref="K7" dT="2025-04-11T17:04:07.94" personId="{9EF5FA43-50E7-445E-9B83-FE2335F608E1}" id="{46DBE527-ED09-425B-BECF-497FCB5A9D09}">
    <text>Parametrización flexible según las necesidades del negocio y soporte para múltiples canales de comunicación, como WhatsApp, SMS, SAT, USSD y RCS.</text>
  </threadedComment>
  <threadedComment ref="L7" dT="2025-04-11T15:29:00.86" personId="{730D6F78-8A23-4FE9-934B-2579A71C67E2}" id="{ED51FA65-B610-4DE1-90A6-A71192931B5E}">
    <text>Adereso AI es la plataforma y motor de IA generativa desarrollado por nuestra área de producto, que permite construir asistentes empresariales y soluciones custom multipropósito, para luego integrarlas a distintos canales digitales que el cliente use como medio de consulta o envío de mensajes, como Web, Chat, WhatsApp, app mobile y redes sociales como WhatsApp, Instagram y Facebook.</text>
  </threadedComment>
  <threadedComment ref="M7" dT="2025-04-11T17:57:48.00" personId="{730D6F78-8A23-4FE9-934B-2579A71C67E2}" id="{6A7F2907-BF1B-482F-9D3D-85CF6A612B4C}">
    <text>Adaptarse a múltiples canales de comunicación (web, móvil, redes sociales, etc.).</text>
  </threadedComment>
  <threadedComment ref="E8" dT="2025-04-10T21:44:05.90" personId="{730D6F78-8A23-4FE9-934B-2579A71C67E2}" id="{6C08BBCF-64C3-443A-8341-665464427BE4}">
    <text xml:space="preserve">LISA utiliza modelos de inteligencia artificial especializados en el análisis de conversaciones, lo que permite identificar patrones comunicativos y posibles sesgos en tiempo real. Esta capacidad garantiza que el sistema tome decisiones de manera transparente y equitativa, evitando interpretaciones parciales o discriminatorias en la gestión automatizada de interacciones. </text>
  </threadedComment>
  <threadedComment ref="H8" dT="2025-04-10T22:40:20.55" personId="{730D6F78-8A23-4FE9-934B-2579A71C67E2}" id="{1BA7F1E0-6A95-43CB-86E2-A1B1990CD1AF}">
    <text>▪ Modelos Predictivos R: Implementación de algoritmos de machine learning en Python y R principalmente para la segmentación de clientes, predicción de churn 
y optimización de ingresos.
▪ Visualización y Reportería: Creación de tableros dinámicos en Power BI y 
Tableau, facilitando el acceso a insights clave en tiempo real.</text>
  </threadedComment>
  <threadedComment ref="H8" dT="2025-04-10T22:49:45.15" personId="{730D6F78-8A23-4FE9-934B-2579A71C67E2}" id="{1A4D876E-F9BA-44E3-B609-7A5BB0A1FF2F}" parentId="{1BA7F1E0-6A95-43CB-86E2-A1B1990CD1AF}">
    <text>En línea con autoevaluación.</text>
  </threadedComment>
  <threadedComment ref="K8" dT="2025-04-11T17:05:03.89" personId="{9EF5FA43-50E7-445E-9B83-FE2335F608E1}" id="{0D00916E-200E-4869-9A93-6DDF1D84B64E}">
    <text>Manejo de LOGS: Almacenamos registros de auditoría en línea por 90 días y en respaldo por al menos un año.
● Auditorías y Monitoreo: Permitimos auditorías por parte de Claro para verificar el cumplimiento de los requerimientos de seguridad y garantizamos la trazabilidad de acciones realizadas por los usuarios.</text>
  </threadedComment>
  <threadedComment ref="L8" dT="2025-04-11T15:30:16.75" personId="{730D6F78-8A23-4FE9-934B-2579A71C67E2}" id="{0AB0432E-DBFF-4759-BEAE-F691CCFD114D}">
    <text>La definición de las métricas y alertas asociadas se coordinarán con el cliente, como parte del acuerdo de integración. Adicionalmente, Sixbell/Adereso puede dar acceso a los monitores respectivos de Cloud Monitoring al equipo de CLARO para auditoría de la calidad del servicio en el tiempo</text>
  </threadedComment>
  <threadedComment ref="E9" dT="2025-04-10T21:44:20.52" personId="{730D6F78-8A23-4FE9-934B-2579A71C67E2}" id="{7D5C9EAC-EBA1-414B-AFA6-6470828ED08E}">
    <text>La infraestructura está diseñada para soportar altos volúmenes de solicitudes con escalabilidad horizontal y vertical. El uso de microservicios independientes garantiza que los fallos en un componente no afecten al resto del sistema, permitiendo el mantenimiento y la actualización de cada módulo sin interrupciones en el servicio.</text>
  </threadedComment>
  <threadedComment ref="G9" dT="2025-04-10T22:32:14.64" personId="{53A256FB-5222-4BF2-AB42-D72ADE9EDFB6}" id="{EFA2AAC8-0E2C-4D5A-95FF-123FC98E014F}">
    <text xml:space="preserve">Puede ajustarse a diferentes volúmenes de usuarios y cargas de trabajo sin comprometer el rendimiento. </text>
  </threadedComment>
  <threadedComment ref="H9" dT="2025-04-10T22:59:23.23" personId="{730D6F78-8A23-4FE9-934B-2579A71C67E2}" id="{CF4A8AE6-971C-4BE5-B71A-05B3C799563B}">
    <text>Automatización y Seguridad: Implementación de procesos de extracción, transformación y carga (ETL) automatizados, asegurando la integridad y seguridad de los datos.</text>
  </threadedComment>
  <threadedComment ref="J9" dT="2025-04-11T14:13:03.09" personId="{9EF5FA43-50E7-445E-9B83-FE2335F608E1}" id="{489375CF-BF41-4A9C-A42F-2295E97044A6}">
    <text>Nuestra solución está diseñada para cumplir con los requerimientos de volumetría mensual establecidos por Claro Colombia, asegurando un manejo eficiente de grandes volúmenes de conversaciones sin comprometer la calidad del servicio. Gracias a nuestra infraestructura escalable y optimizada, garantizamos estabilidad, rapidez y un desempeño consistente en todo momento.</text>
  </threadedComment>
  <threadedComment ref="K9" dT="2025-04-11T17:06:15.82" personId="{9EF5FA43-50E7-445E-9B83-FE2335F608E1}" id="{0F8FA171-73F3-408A-95FA-9D44E9A488E6}">
    <text>Interfaz web intuitiva y escalable, alojada en la nube, que facilita la configuración y gestión eficiente de los flujos de trabajo</text>
  </threadedComment>
  <threadedComment ref="E10" dT="2025-04-10T21:44:31.71" personId="{730D6F78-8A23-4FE9-934B-2579A71C67E2}" id="{29D7CA48-B853-4209-B19A-B32C456B4517}">
    <text>LISA cuenta con un conjunto de mecanismos de
gobernanza que aseguran el control completo del ciclo de vida de los modelos, desde su implementación inicial hasta su actualización y
optimización. Estos mecanismos garantizan la
trazabilidad de cada cambio realizado y el cumplimiento normativo, proporcionando un
entorno de operación seguro, controlado y eficiente. De esta forma, se asegura que cada modificación en el sistema esté debidamente documentada y sea rastreable en caso de auditorías o revisiones.</text>
  </threadedComment>
  <threadedComment ref="G10" dT="2025-04-11T14:02:35.94" personId="{53A256FB-5222-4BF2-AB42-D72ADE9EDFB6}" id="{176F519B-9183-4D58-A82B-ADA04F1C8117}">
    <text xml:space="preserve">El servicio ofrece una gestión automatizada del ciclo de vida de la base de datos que reduce la administración, un desarrollo integrado de aplicaciones con poco código que acelera la implementación de nuevas aplicaciones y la ampliación de recursos informáticos con precios de pago por consumo que reducen los costos </text>
  </threadedComment>
  <threadedComment ref="H10" dT="2025-04-10T23:02:43.30" personId="{730D6F78-8A23-4FE9-934B-2579A71C67E2}" id="{1B3B4863-99DA-4613-96DF-7604E63CD42B}">
    <text>El enfoque que se aplicará para la implementación de este proyecto será una adaptación de la metodología CRISP-DM manejando el desarrollo de iniciativas de analítica de datos e inteligencia artificial.</text>
  </threadedComment>
  <threadedComment ref="J10" dT="2025-04-11T14:16:33.93" personId="{9EF5FA43-50E7-445E-9B83-FE2335F608E1}" id="{8C94A634-0AD4-4B42-97B5-968B8FF1B883}">
    <text>Equipo de trabajo: Nuestro equipo de trabajo está conformado por un Jefe de Proyecto, Arquitecto de Infraestructura, Consultor Técnico y Consultor Funcional. Cada uno de los miembros del equipo está segmentado en funciones específicas para que al momento de unir los esfuerzos, se vea un gran equipo de trabajo.</text>
  </threadedComment>
  <threadedComment ref="L10" dT="2025-04-11T16:14:50.86" personId="{730D6F78-8A23-4FE9-934B-2579A71C67E2}" id="{75F6E503-C351-4349-8FD3-F3F30715F87C}">
    <text>Proponemos un modelo de IA Generativa transversal y progresivo a la organización con un enfoque Customer Centric, que permite obtener beneficios en términos de potenciar la creatividad, mejorar experiencia y automatizar procesos operativos en todo el Viaje del Cliente</text>
  </threadedComment>
  <threadedComment ref="G11" dT="2025-04-11T14:04:09.61" personId="{53A256FB-5222-4BF2-AB42-D72ADE9EDFB6}" id="{867DFF7F-164C-4A83-87AC-1B76EE7FF07A}">
    <text xml:space="preserve">Almacena mensajes, respuestas y metadatos. </text>
  </threadedComment>
  <threadedComment ref="H11" dT="2025-04-11T13:38:29.38" personId="{730D6F78-8A23-4FE9-934B-2579A71C67E2}" id="{18CC7839-E6D3-46CC-89B5-8944559F236F}">
    <text>la solución permitirá la integración con bases de datos corporativas (OFSC), asegurando la asignación de trabajos de manera óptima. Se implementará un asistente virtual inteligente que no solo responderá consultas, sino que también analizará patrones operativos para mejorar la eficiencia y reducir incidencias.</text>
  </threadedComment>
  <threadedComment ref="L11" dT="2025-04-11T16:18:19.99" personId="{730D6F78-8A23-4FE9-934B-2579A71C67E2}" id="{7755DA60-0E64-4880-AF30-7929E14DA1FD}">
    <text>Dar una gestión asertiva sobre razonamiento de visitas por condiciones inseguras, asegurando que están bien razonadas y estableciendo modelos predictivos que puedan mejorar la efectividad de la operación y la comunicación efectiva al cliente mejorando la experiencia. </text>
  </threadedComment>
  <threadedComment ref="M11" dT="2025-04-11T18:18:42.89" personId="{730D6F78-8A23-4FE9-934B-2579A71C67E2}" id="{26E7E99A-3FDF-4DC0-B5AD-2DF16664264A}">
    <text>El alcance del análisis de sentimiento se hará a través de Modelos LLM, almacenando su resultado en una base de datos. No se incluyen modelos de analítica tradicional.</text>
  </threadedComment>
  <threadedComment ref="G12" dT="2025-04-11T14:05:14.32" personId="{53A256FB-5222-4BF2-AB42-D72ADE9EDFB6}" id="{D721043D-21BE-4651-907D-B61A42F26111}">
    <text xml:space="preserve">La solución incluye insights procedentes de la data generada tras las interacciones con el asistente, análisis integrados para ofrecer información sobre las conversaciones y métricas de utilización, para mejorar la precisión del asistente y crear una mejor experiencia de usuario </text>
  </threadedComment>
  <threadedComment ref="I12" dT="2025-04-11T13:03:24.49" personId="{9EF5FA43-50E7-445E-9B83-FE2335F608E1}" id="{45483E24-02B8-4088-835B-22332D53AC6A}">
    <text> Análisis de emociones en tiempo real, interpretación de textos, imágenes y 
audios (speech-to-text).</text>
  </threadedComment>
  <threadedComment ref="J12" dT="2025-04-11T14:31:40.62" personId="{9EF5FA43-50E7-445E-9B83-FE2335F608E1}" id="{F8CDBA08-7875-4B2C-BBB7-1AD682677349}">
    <text>Laraigo, permite integrarse con cualquier proveedor de inteligencia artificial, para el procesamiento de texto, imágenes, audio, etc. Permitiendo a las empresas, acceder de manera fácil e intuitiva a las nuevas tecnologías como Inteligencia Artificial Conversacional (watsonx Assistant, DialogFlow, etc). Asimismo, la integración con inteligencia artificial generativa (OpenAI, Llama, watsonx.ai, DeepSeek, etc).</text>
  </threadedComment>
  <threadedComment ref="L12" dT="2025-04-11T16:22:31.45" personId="{730D6F78-8A23-4FE9-934B-2579A71C67E2}" id="{A2CD6959-95E3-474B-B590-5B8D92F0317D}">
    <text>Permite al técnico describir el incidente, correlaciona información existente (Máximo) o genera automáticamente nuevos incidentes. ➢ Mal programado: Presenta opciones automatizadas para corregir agendamiento.</text>
  </threadedComment>
  <threadedComment ref="M12" dT="2025-04-11T18:20:47.12" personId="{730D6F78-8A23-4FE9-934B-2579A71C67E2}" id="{ADE395CA-D68F-4F10-9E09-4CAB33122246}">
    <text>En caso de requerirse el procesamiento de imágenes se procederá a Colocar. No estimado</text>
  </threadedComment>
  <threadedComment ref="H13" dT="2025-04-11T14:11:48.50" personId="{730D6F78-8A23-4FE9-934B-2579A71C67E2}" id="{2449112F-D3A1-4C4B-8542-98FF6B95DEB9}">
    <text>La solución permitirá la integración con bases de datos corporativas (OFSC), asegurando la asignación de trabajos de manera óptima.</text>
  </threadedComment>
  <threadedComment ref="J13" dT="2025-04-11T14:38:38.28" personId="{9EF5FA43-50E7-445E-9B83-FE2335F608E1}" id="{E2298661-82D4-4074-93B9-136B094FE313}">
    <text xml:space="preserve">BD PostgreSQL – v15
BD MongoDB v6
</text>
  </threadedComment>
  <threadedComment ref="L13" dT="2025-04-11T16:28:35.49" personId="{730D6F78-8A23-4FE9-934B-2579A71C67E2}" id="{123D5271-9C56-4B13-9BFC-6CFDE57EFE73}">
    <text>En este proceso, el modelo Agent RAG recupera información relevante desde distintas fuentes, identificando los conceptos clave y evaluando cuál es la respuesta más probable. Sin embargo, cuando la información recuperada es extensa o abarca múltiples posibilidades, se presentarán los posibles caminos de respuesta, similar a un árbol de decisión, permitiendo que la interacción con el técnico fluya de manera conversacional.</text>
  </threadedComment>
  <threadedComment ref="L13" dT="2025-04-11T16:30:12.93" personId="{730D6F78-8A23-4FE9-934B-2579A71C67E2}" id="{892987CC-05E1-4B53-9BB2-7426F5D2C510}" parentId="{123D5271-9C56-4B13-9BFC-6CFDE57EFE73}">
    <text>El bot es capaz de leer y entender información sobre rangos de valores, tanto en formato tabulado como en prosa. Esto es posible gracias a nuestro mecanismo de pre-procesamiento, que separa y transforma la información de un modo que la hace más fácilmente buscable y comprensible por parte de los modelos de lenguaje</text>
  </threadedComment>
  <threadedComment ref="E14" dT="2025-04-10T21:45:14.88" personId="{730D6F78-8A23-4FE9-934B-2579A71C67E2}" id="{3A8A5F15-87EB-456B-9BF0-C002207CBB72}">
    <text>El Asistente Virtual Inteligente con capacidades avanzadas de procesamiento de lenguaje natural (NLP) para entender y responder a las consultas de los técnicos de manera precisa y contextual.</text>
  </threadedComment>
  <threadedComment ref="G14" dT="2025-04-11T14:08:08.19" personId="{53A256FB-5222-4BF2-AB42-D72ADE9EDFB6}" id="{D272246C-9306-44B4-B4E2-4803EE3819F1}">
    <text xml:space="preserve">Procesamiento avanzado del lenguaje natural (NLP) • Reconocimiento de intenciones • Mantiene el contexto de la conversación. Las respuestas generadas son coherentes y gramaticalmente correctas. • Contexto conversacional. Aprendizaje en contexto con base en el vocabulario propio de Claro • Acceso a la informacion de OFS para enriquecimiento de respuestas, • Soporte multiplataforma: Whatsapp, Messenger, App móviles y web </text>
  </threadedComment>
  <threadedComment ref="H14" dT="2025-04-11T14:12:35.23" personId="{730D6F78-8A23-4FE9-934B-2579A71C67E2}" id="{FC3447DE-BC05-42E0-BE7C-51CF96599022}">
    <text>Integración con un asistente virtual inteligente con capacidades NLP.</text>
  </threadedComment>
  <threadedComment ref="I14" dT="2025-04-11T13:04:06.69" personId="{9EF5FA43-50E7-445E-9B83-FE2335F608E1}" id="{A84F92D8-BE40-4857-916F-91B54FE6368E}">
    <text>NLP avanzado (Gemini / Azure Text Analytics /GCP Text analytics) o su 
equivalente.</text>
  </threadedComment>
  <threadedComment ref="K14" dT="2025-04-11T19:06:02.67" personId="{9EF5FA43-50E7-445E-9B83-FE2335F608E1}" id="{C16F1D8B-8770-479F-8ACD-FDE1270B50C2}">
    <text>en caso de que Claro requiera la inclusión de NLP, aprendizaje automático y análisis de sentimientos, fonYou implementará estas funcionalidades utilizando la tecnología de Vertex AI de Google Cloud, de la cual somos socios.</text>
  </threadedComment>
  <threadedComment ref="L14" dT="2025-04-11T16:31:13.05" personId="{730D6F78-8A23-4FE9-934B-2579A71C67E2}" id="{3C52ED09-93ED-49D8-8ECB-2C1EB507674E}">
    <text>Adereso lidera la vanguardia de la Inteligencia Artificial (IA), evolucionando constantemente para proporcionar soluciones de atención al cliente más avanzadas y eficientes. Cuenta con chatbots basados en GPT-4 y la arquitectura Transformer, una IA altamente sofisticada, capaz de comprender y generar lenguaje humano con una precisión y coherencia inigualables.</text>
  </threadedComment>
  <threadedComment ref="M14" dT="2025-04-11T18:23:34.91" personId="{730D6F78-8A23-4FE9-934B-2579A71C67E2}" id="{F73C134F-75DE-4FCD-B21A-DE439225C514}">
    <text>CLARO garantizará el acceso a las fuentes externas, tanto en lo referente a permisos, así como los temas contractuales y económicos que esto implique.</text>
  </threadedComment>
  <threadedComment ref="E15" dT="2025-04-10T21:45:44.10" personId="{730D6F78-8A23-4FE9-934B-2579A71C67E2}" id="{F3F3B177-1099-4DB2-95B6-B922A01FB912}">
    <text>La solución utiliza las tecnologías más avanzadas disponibles para procesar la información contenida en los distintos documentos. El procesamiento de imágenes y/o diagramas para generar los modelos dependerá de las capacidades de estas tecnologías.</text>
  </threadedComment>
  <threadedComment ref="G15" dT="2025-04-11T14:19:28.77" personId="{53A256FB-5222-4BF2-AB42-D72ADE9EDFB6}" id="{6988CBED-DE06-4F37-AD7D-6885B8C24B02}">
    <text xml:space="preserve">Vista operativa de todas las habilidades en el Asistente para identificar patrones de uso, problemas clave y motivos de fallas. </text>
  </threadedComment>
  <threadedComment ref="H15" dT="2025-04-11T14:13:12.59" personId="{730D6F78-8A23-4FE9-934B-2579A71C67E2}" id="{0987DB22-D0DB-4CBE-93F9-CF4657B021EF}">
    <text>Se implementará un asistente virtual inteligente que no solo responderá consultas, sino que también analizará patrones operativos para mejorar la eficiencia y reducir incidencias.</text>
  </threadedComment>
  <threadedComment ref="I15" dT="2025-04-11T13:05:30.80" personId="{9EF5FA43-50E7-445E-9B83-FE2335F608E1}" id="{6F40C3EC-86E9-46E4-9F16-36CDE0F355F1}">
    <text>NLP avanzado (Gemini / Azure Text Analytics /GCP Text analytics) o su 
equivalente.
- Análisis de emociones en tiempo real, interpretación de textos, imágenes y 
audios (speech-to-text)</text>
  </threadedComment>
  <threadedComment ref="J15" dT="2025-04-11T14:42:09.38" personId="{9EF5FA43-50E7-445E-9B83-FE2335F608E1}" id="{7188A72E-AAA9-4754-8DF3-B747E4035162}">
    <text>Capacidad de aprendizaje continuo, ajustando su conocimiento en base a patrones de uso e interacciones frecuentes.</text>
  </threadedComment>
  <threadedComment ref="L15" dT="2025-04-11T16:49:42.54" personId="{730D6F78-8A23-4FE9-934B-2579A71C67E2}" id="{1ABC3DEB-70D6-458C-9F78-FA578F6AAB61}">
    <text>Entender el lenguaje natural es un desafío para cualquier sistema de IA. En Adereso, trabajamos constantemente para mejorar la capacidad de nuestros chatbots de entender y procesar el lenguaje natural. Esto se logra mediante el entrenamiento continuo con grandes volúmenes de interacciones, lo que permite que el sistema aprenda y se adapte a diferentes modismos, dialectos y patrones de habla. Si el sistema no encuentra información relevante en la base de conocimiento, informará al usuario de su falta de información en lugar de intentar dar una respuesta forzada y en caso de disponibilidad de agentes, la consulta será derivada a un humano.</text>
  </threadedComment>
  <threadedComment ref="E16" dT="2025-04-10T22:04:24.17" personId="{730D6F78-8A23-4FE9-934B-2579A71C67E2}" id="{F60389DF-DFAA-497F-A0A8-F2601B3C13C5}">
    <text>Asegurar la correcta configuración de protocolos y APIs para el intercambio de datos en tiempo real.
APIs Disponibles para Integración:
1. Google Maps API:
• Directions API: Proporciona rutas optimizadas entre múltiples puntos.
• Distance Matrix API: Calcula distancias y tiempos de viaje entre varias ubicaciones.
• Geocoding API: Convierte direcciones en coordenadas geográficas.
• Traffic Layer: Muestra el estado del tráfico en tiempo real.
2. Waze API:
• Waze Transport SDK: Permite integrar el cálculo de rutas optimizadas, el tráfico en tiempo real y el monitoreo del trayecto.
• Waze Deep Links: Permiten abrir la aplicación Waze directamente con la ruta trazada desde una URL.</text>
  </threadedComment>
  <threadedComment ref="G16" dT="2025-04-11T14:56:35.32" personId="{53A256FB-5222-4BF2-AB42-D72ADE9EDFB6}" id="{1446B739-EA93-4154-8448-E105B2C8D10E}">
    <text xml:space="preserve">APIs externas - Servicios de terceros o sistemas empresariales que proporcionan información adicional(Legados). 
Análisis de interacciones: Ofrece reportes y métricas sobre el uso, como temas más consultados, tiempos de respuesta, y niveles de satisfacción </text>
  </threadedComment>
  <threadedComment ref="H16" dT="2025-04-11T14:16:28.13" personId="{730D6F78-8A23-4FE9-934B-2579A71C67E2}" id="{D8BC249C-A599-4A89-9EA3-A3BF754EA57C}">
    <text>Identificación de razones para la no ejecución de OT, integración con sistemas de ticketing para reportar fallas en red. Implementación de aprendizaje automático para sugerir mejoras en la gestión de visitas.</text>
  </threadedComment>
  <threadedComment ref="I16" dT="2025-04-11T13:08:33.60" personId="{9EF5FA43-50E7-445E-9B83-FE2335F608E1}" id="{C91845E8-7B34-45AA-8ED1-D994467F1A20}">
    <text>Integración APIs</text>
  </threadedComment>
  <threadedComment ref="J16" dT="2025-04-11T14:43:22.24" personId="{9EF5FA43-50E7-445E-9B83-FE2335F608E1}" id="{597BB507-C221-479E-A0E7-A1FE4A360F42}">
    <text>Esta solución permite la automatización de procesos conversacionales y se integra perfectamente con sistemas internos y externos mediante APIs</text>
  </threadedComment>
  <threadedComment ref="K16" dT="2025-04-11T19:13:22.55" personId="{9EF5FA43-50E7-445E-9B83-FE2335F608E1}" id="{7C3054F3-B2FC-46AE-98FC-EAEFE6EE3235}">
    <text>Gestionar las conectividades necesarias para la integración con sus sistemas, utilizando APIs REST.</text>
  </threadedComment>
  <threadedComment ref="L16" dT="2025-04-11T16:52:39.58" personId="{730D6F78-8A23-4FE9-934B-2579A71C67E2}" id="{35AE2BE1-3807-4432-8684-DFF2D4C83271}">
    <text>Además, se entregará acceso a una API especializada que permitirá consultar en tiempo real o periódicamente todas las interacciones realizadas por los técnicos, ofreciendo flexibilidad adicional para la integración con sistemas internos y análisis propios de Claro.</text>
  </threadedComment>
  <threadedComment ref="M16" dT="2025-04-11T18:23:34.91" personId="{730D6F78-8A23-4FE9-934B-2579A71C67E2}" id="{EA15E2B8-38AC-4057-AFF4-369224A46DB1}">
    <text>Las integraciones se realizarán por API REST (watsonx orchestrate requiere de un documento OpenAPI de los servicios para añadirlos como skill si no se puede integrar la app a través del catálogo)</text>
  </threadedComment>
  <threadedComment ref="E17" dT="2025-04-10T22:05:17.75" personId="{730D6F78-8A23-4FE9-934B-2579A71C67E2}" id="{7168A481-D669-4971-92F6-B83C4EC05167}">
    <text>LISA incorpora un componente de RAG que permite gestionar eficientemente la documentación del cliente mediante el uso de IA para analizar y estructurar archivos en múltiples formatos. Esta capacidad permite a la solución no solo procesar información de manera precisa, sino también actualizar automáticamente el modelo con nueva documentación conforme esta se genere. Esto garantiza que el sistema mantenga su precisión y esté siempre alineado con la última información disponible.
En cuanto al almacenamiento de modelos propietarios o generadospor la plataforma, estos se mantienen de forma segura en el sistema de archivos de la nube. Para garantizar la escalabilidad y eficiencia en el procesamiento de modelos generativos, se utilizan servicios específicos proporcionados por la plataforma de Azure. Estos servicios están diseñados para adaptarse dinámicamente a la demanda,escalando recursos de manera automatizada para satisfacer las necesidades cambiantes del sistema</text>
  </threadedComment>
  <threadedComment ref="G17" dT="2025-04-11T16:04:53.47" personId="{53A256FB-5222-4BF2-AB42-D72ADE9EDFB6}" id="{1D126E4E-E3DE-4645-AD3C-ED6916770D52}">
    <text xml:space="preserve">Oracle Cloud Infrastructure (OCI) Flexible Load Balancer es un servicio nativo de la nube y de alta disponibilidad que distribuye automáticamente las conexiones entrantes de aplicaciones, desde Internet y de manera interna, a múltiples recursos informáticos para lograr resiliencia y rendimiento. Los balanceadores de carga pueden distribuir el tráfico entre múltiples dominios de fallas, dominios de disponibilidad y regiones OCI en función de las características de persistencia, solicitud y URL. </text>
  </threadedComment>
  <threadedComment ref="H17" dT="2025-04-11T14:30:48.21" personId="{730D6F78-8A23-4FE9-934B-2579A71C67E2}" id="{1B0F2FF8-2406-4E81-BBE5-B83804CBCCAA}">
    <text>-
HITSS se encarga de usar la máquina aprovisionada para realizar la ejecución de los modelos matemáticos siempre y cuando estén dentro del alcance de la máquina local, de no poder trabajar de esta manera es necesario usar los recursos desplegados en la nube.</text>
  </threadedComment>
  <threadedComment ref="J17" dT="2025-04-11T14:45:09.30" personId="{9EF5FA43-50E7-445E-9B83-FE2335F608E1}" id="{06EC1BB5-E901-4E97-8BC5-44F711609543}">
    <text>Se aplica al total agregado de todos los buckets de niveles inteligentes e instancias de almacenamiento de objetos en la nube dentro de su cuenta.</text>
  </threadedComment>
  <threadedComment ref="L17" dT="2025-04-11T16:53:48.89" personId="{730D6F78-8A23-4FE9-934B-2579A71C67E2}" id="{D809C008-69A4-446F-9F4F-C50BDF05B719}">
    <text>El bot trabaja con un enfoque basado en Agent RAG (Retrieval-Augmented Generation), lo que permite que el sistema no solo busque información en la base documental, sino que también organice la respuesta en función de decisiones encadenadas, guiando al usuario de manera intuitiva hacia la mejor solución</text>
  </threadedComment>
  <threadedComment ref="G18" dT="2025-04-11T15:06:43.26" personId="{53A256FB-5222-4BF2-AB42-D72ADE9EDFB6}" id="{6EF0FC35-8E0D-4236-B0F0-66BC10231F3C}">
    <text xml:space="preserve">Almacenamiento estructurado de las transacciones </text>
  </threadedComment>
  <threadedComment ref="I18" dT="2025-04-11T13:09:42.12" personId="{9EF5FA43-50E7-445E-9B83-FE2335F608E1}" id="{4C199465-37A4-42F1-9736-7576270DA169}">
    <text>Firebase: Almacena logs de conversaciones.
o MySQL: Guarda perfiles técnicos y patrones de interacción.
o Power BI: Dashboard para análisis de KPI</text>
  </threadedComment>
  <threadedComment ref="J18" dT="2025-04-11T14:45:46.13" personId="{9EF5FA43-50E7-445E-9B83-FE2335F608E1}" id="{576D3D3A-F8A4-46C6-9BCE-FE2556034550}">
    <text>MongoDB es un componente clave en la arquitectura de una plataforma omnicanal orientada al manejo de información no estructurada y grandes volúmenes de datos. Dentro de este tipo de plataformas, MongoDB actúa como una base de datos NoSQL distribuida, diseñada para escalar horizontalmente y manejar datos en formatos flexibles como JSON</text>
  </threadedComment>
  <threadedComment ref="K18" dT="2025-04-11T19:31:31.19" personId="{9EF5FA43-50E7-445E-9B83-FE2335F608E1}" id="{2F79D2C4-8848-4BF9-BE8E-D4ACE9C2AAB4}">
    <text>Google Cloud SQL: Servicio de bases de datos SQL totalmente gestionado que facilita la administración y el mantenimiento de bases de datos MySQL y PostgreSQL en la nube.</text>
  </threadedComment>
  <threadedComment ref="M18" dT="2025-04-11T18:25:12.49" personId="{730D6F78-8A23-4FE9-934B-2579A71C67E2}" id="{45204E94-9C9B-40F5-8FC1-B24AA52B78CA}">
    <text>Las integraciones se realizarán por API REST (watsonx orchestrate requiere de un documento OpenAPI de los servicios para añadirlos como skill si no se puede integrar la app a través del catálogo)</text>
  </threadedComment>
  <threadedComment ref="I19" dT="2025-04-11T13:10:20.38" personId="{9EF5FA43-50E7-445E-9B83-FE2335F608E1}" id="{606096E5-7036-430E-A890-668F41015F0A}">
    <text>Integraciones:
§ OFSC: Consulta estado de técnicos/OTs.
§ SAP: Autenticación con código SAP/OTP.</text>
  </threadedComment>
  <threadedComment ref="K19" dT="2025-04-11T19:32:09.14" personId="{9EF5FA43-50E7-445E-9B83-FE2335F608E1}" id="{C1EDA4AE-FEA0-42CF-8EB2-49B6681242D3}">
    <text>se establecerán integraciones con otros sistemas de Claro (RR, SAP, Poliedro, Salesforce, etc.) a través de APIs REST, siendo Claro el responsable de proporcionar los mecanismos de integración necesarios.</text>
  </threadedComment>
  <threadedComment ref="L19" dT="2025-04-11T15:07:05.68" personId="{730D6F78-8A23-4FE9-934B-2579A71C67E2}" id="{596FC6AB-B510-49D3-B254-71CC638FED30}">
    <text>Figura. Portafolio de soluciones Sixbell.</text>
  </threadedComment>
  <threadedComment ref="E20" dT="2025-04-10T22:05:43.41" personId="{730D6F78-8A23-4FE9-934B-2579A71C67E2}" id="{FCA20A1E-FA47-441C-872B-BD18608796E0}">
    <text>El sistema personaliza el menú de opciones según el perfil del usuario, brindando una experiencia adaptada a cada técnico en función de su rol y necesidades operativas.</text>
  </threadedComment>
  <threadedComment ref="L20" dT="2025-04-11T16:55:47.79" personId="{730D6F78-8A23-4FE9-934B-2579A71C67E2}" id="{D13DA1DA-93E3-4CAE-9379-AF00343193FF}">
    <text>automatización. En Adereso contamos con un constructor de chatbots que permite autonomía para su configuración, desde su personalización y carga de bases de conocimiento, hasta el diseño de nuevos flujos de negocio, que permiten iterar y probar rápidamente.</text>
  </threadedComment>
  <threadedComment ref="E21" dT="2025-04-10T22:06:03.24" personId="{730D6F78-8A23-4FE9-934B-2579A71C67E2}" id="{F0BB07C7-56EE-44EE-8F62-9F9052E5B334}">
    <text>La solución usa flujos dirigidos y conversaciones generadas estilo chatGTP para gestionas las consultas de los clientes. Estas interacciones 10 realimentan el modelo para mejorar las respuestas ofrecidas.</text>
  </threadedComment>
  <threadedComment ref="G21" dT="2025-04-11T15:44:22.14" personId="{53A256FB-5222-4BF2-AB42-D72ADE9EDFB6}" id="{CF64692F-9B24-41DB-AC47-AA348D73DA8C}">
    <text xml:space="preserve">Autoaprendizaje moderado para aumentar la eficiencia del asistente. </text>
  </threadedComment>
  <threadedComment ref="H21" dT="2025-04-11T14:40:29.45" personId="{730D6F78-8A23-4FE9-934B-2579A71C67E2}" id="{A4619DBD-E9EB-4E88-8465-58689912AC87}">
    <text>Esta propuesta busca proporcionar una asistencia eficiente, personalizada y disponible 24/7, integrando capacidades avanzadas de procesamiento de lenguaje natural (NLP), análisis de emociones y aprendizaje automático. El sistema garantizará la validación en tiempo real del estado y rol del técnico, ofreciendo menús de opciones adaptados a su perfil y estado emocional.</text>
  </threadedComment>
  <threadedComment ref="J21" dT="2025-04-11T15:54:59.37" personId="{9EF5FA43-50E7-445E-9B83-FE2335F608E1}" id="{E7FBFC41-2B35-4809-BD12-146A582C3AFC}">
    <text>Capacidad de aprendizaje continuo, ajustando su conocimiento en base a patrones de uso e interacciones frecuentes</text>
  </threadedComment>
  <threadedComment ref="L21" dT="2025-04-11T16:58:19.66" personId="{730D6F78-8A23-4FE9-934B-2579A71C67E2}" id="{0CA484F5-8A98-435D-AB27-B1249F35875A}">
    <text>En Adereso, adoptamos un método basado en la documentación para entrenar a nuestros chatbots. Esto significa que cargamos uno o más documentos y, a partir de ellos, creamos chatbots conversacionales utilizando inteligencia artificial generativa.</text>
  </threadedComment>
  <threadedComment ref="M21" dT="2025-04-11T17:56:17.73" personId="{730D6F78-8A23-4FE9-934B-2579A71C67E2}" id="{6F3B28A0-E505-4664-A977-272C51889A5C}">
    <text>Anexo - IBM watsonx Orchestrate</text>
  </threadedComment>
  <threadedComment ref="E22" dT="2025-04-10T22:06:13.38" personId="{730D6F78-8A23-4FE9-934B-2579A71C67E2}" id="{4DD22F64-F8CE-4B97-A49E-F2D9112C2FC9}">
    <text>Para garantizar la disponibilidad del servicio en todo momento, todos los componentes de la solución, denominados pods, están configurados para escalar automáticamente en respuesta a fluctuaciones en la demanda. Esto se logra mediante la implementación de políticas de autoscaling que monitorean de forma continua la carga de trabajo y ajustan dinámicamente el número de pods en funcionamiento.</text>
  </threadedComment>
  <threadedComment ref="G22" dT="2025-04-11T15:48:05.75" personId="{53A256FB-5222-4BF2-AB42-D72ADE9EDFB6}" id="{258ECE78-FA64-4101-849B-0C5EFCD421C6}">
    <text xml:space="preserve">Alto rendimiento: Capaz de manejar múltiples conversaciones simultáneamente con tiempos de respuesta rápidos. </text>
  </threadedComment>
  <threadedComment ref="H22" dT="2025-04-11T14:40:29.45" personId="{730D6F78-8A23-4FE9-934B-2579A71C67E2}" id="{2A3CFA37-2F75-4FF0-AA5D-5CB0E16C0AB2}">
    <text>Esta propuesta busca proporcionar una asistencia eficiente, personalizada y disponible 24/7, integrando capacidades avanzadas de procesamiento de lenguaje natural (NLP), análisis de emociones y aprendizaje automático. El sistema garantizará la validación en tiempo real del estado y rol del técnico, ofreciendo menús de opciones adaptados a su perfil y estado emocional.</text>
  </threadedComment>
  <threadedComment ref="J22" dT="2025-04-11T15:56:05.23" personId="{9EF5FA43-50E7-445E-9B83-FE2335F608E1}" id="{99EC0C70-C7C7-41A6-AE91-425FF2ACFA87}">
    <text>Envía contenido multimedia como documentos, imágenes y videos, también podrás enviar respuestas rápidas, emojis, gifts y bloques enriquecidos que permitirá una comunicación más ágil y llamativa con el cliente.</text>
  </threadedComment>
  <threadedComment ref="L22" dT="2025-04-11T16:58:41.02" personId="{730D6F78-8A23-4FE9-934B-2579A71C67E2}" id="{1786152D-267A-446F-ACD5-EC2CFCA5CFB4}">
    <text>Lo que realmente nos distingue es la rapidez con la que podemos poner en producción estos chatbots. Gracias a nuestro enfoque, podemos lanzar chatbots de alta calidad en un tiempo récord, reduciendo un 95% el tiempo usual de trabajo para exponer un bot al cliente final. Además, este método nos permite realizar actualizaciones y mejoras de manera continua y con la misma agilidad.</text>
  </threadedComment>
  <threadedComment ref="M22" dT="2025-04-11T17:56:17.73" personId="{730D6F78-8A23-4FE9-934B-2579A71C67E2}" id="{4F86C146-D563-43C0-BB93-A3868504C229}">
    <text>Anexo - IBM watsonx Orchestrate</text>
  </threadedComment>
  <threadedComment ref="E23" dT="2025-04-10T22:08:41.85" personId="{730D6F78-8A23-4FE9-934B-2579A71C67E2}" id="{F271302E-8B22-4C06-8085-9BA858876756}">
    <text>LISA incorpora herramientas de monitoreo robustas para asegurar la continuidad operativa. Utiliza Prometheus para la recopilación de métricas en tiempo real y Grafana para la visualización de indicadores clave de rendimiento (KPIs). Estas herramientas permiten mantener un monitoreo constante del estado del sistema y realizar análisis proactivos para la detección temprana de problemas.</text>
  </threadedComment>
  <threadedComment ref="G23" dT="2025-04-11T15:49:07.54" personId="{53A256FB-5222-4BF2-AB42-D72ADE9EDFB6}" id="{B30C812F-778C-452A-87F5-CFB82BF8EA30}">
    <text xml:space="preserve">Puede ajustarse a diferentes volúmenes de usuarios y cargas de trabajo sin comprometer el rendimiento. </text>
  </threadedComment>
  <threadedComment ref="L23" dT="2025-04-11T17:00:15.00" personId="{730D6F78-8A23-4FE9-934B-2579A71C67E2}" id="{8BAAC39F-FF12-42A7-9770-E0092F5D6A83}">
    <text>Los servicios de Sixbell/Adereso cuentan con arquitectura altamente disponible y escalable, dentro de Google Cloud, según se indica en el Anexo 1 de arquitectura y seguridad.</text>
  </threadedComment>
  <threadedComment ref="E24" dT="2025-04-10T22:08:51.26" personId="{730D6F78-8A23-4FE9-934B-2579A71C67E2}" id="{DAE75D4E-27D9-4E9E-87D6-C250579FBE0C}">
    <text>LISA utiliza modelos de inteligencia artificial especializados en el análisis de conversaciones, lo que permite identificar patrones comunicativos y posibles sesgos en tiempo real. Esta capacidad garantiza que el sistema tome decisiones de manera transparente y equitativa, evitando interpretaciones parciales o discriminatorias en la gestión automatizada de
interacciones. Gracias a estos modelos avanzados, el sistema no solo responde de manera precisa, sino que también mantiene altos estándares éticos en el tratamiento de datos y la atención al usuario.</text>
  </threadedComment>
  <threadedComment ref="G24" dT="2025-04-11T15:50:04.43" personId="{53A256FB-5222-4BF2-AB42-D72ADE9EDFB6}" id="{BEB27D24-557F-4BFA-BB49-CC30960C2FAD}">
    <text xml:space="preserve">Seguimiento de las tendencias de conversación a lo largo del tiempo </text>
  </threadedComment>
  <threadedComment ref="H25" dT="2025-04-11T17:01:37.53" personId="{730D6F78-8A23-4FE9-934B-2579A71C67E2}" id="{9BABD56C-A55E-460F-8243-F29119CB12FE}">
    <text>Capitulo Gestión de cambios</text>
  </threadedComment>
  <threadedComment ref="L25" dT="2025-04-11T17:04:10.05" personId="{730D6F78-8A23-4FE9-934B-2579A71C67E2}" id="{34384A4D-D65C-410F-BB28-F99009FA30CC}">
    <text>Documento para ser formalizado con el Cliente, donde se especifican los cambios requeridos por el proyecto y el impacto en el alcance, presupuesto o costos. La base de lo que es un cambio o no, lo establecen varios documentos, documentos comerciales; contrato; RFP, Propuesta técnica/comercial y documentos generados durante el proyecto; especificación funcional</text>
  </threadedComment>
  <threadedComment ref="E26" dT="2025-04-10T22:31:29.58" personId="{730D6F78-8A23-4FE9-934B-2579A71C67E2}" id="{CBD822A0-34A5-47AC-A378-B9FEAFCB90CE}">
    <text xml:space="preserve">LISA está diseñada sobre una arquitectura cloud basada en Kubernetes (K8s) y microservicios, lo que garantiza una alta flexibilidad y capacidad de adaptación a diferentes cargas de trabajo. Esta estructura permite escalar la plataforma tanto de manera horizontal como vertical, ajustándose dinámicamente a la demanda del servicio. Gracias a esta arquitectura, el sistema puede manejar picos de uso sin comprometer el rendimiento, optimizando el consumo de recursos y asegurando una operación continua en escenarios de alta exigencia,
Gracias a la capacidad de innovación y de resolución de problemas y procesos complejos, mediante automatización y la optimización de recursos nuestros clientes verán reducidos sus costos operativos lo que mejorará la rentabilidad a medio y largo plazo. </text>
  </threadedComment>
  <threadedComment ref="G26" dT="2025-04-11T15:51:07.94" personId="{53A256FB-5222-4BF2-AB42-D72ADE9EDFB6}" id="{9AB12858-C471-4362-B654-D0F4349392B4}">
    <text xml:space="preserve">. Proporciona un almacenamiento de bloques fiable, de alto rendimiento y de bajo costo. OCI Block Volumes perviven más allá de la vida útil de una máquina virtual, tienen redundancia integrada y pueden escalarse a 1 PB por instancia informática. Brindan una función de ajuste automático del rendimiento que permite escalarlo de forma dinámica conforme cambia la demanda. </text>
  </threadedComment>
  <threadedComment ref="J26" dT="2025-04-11T16:28:24.90" personId="{9EF5FA43-50E7-445E-9B83-FE2335F608E1}" id="{2708E314-CF8A-499D-978F-57CB363F95DF}">
    <text>Optimización Continua con Aprendizaje Automático: La Inteligencia Artificial analizará las interacciones para mejorar progresivamente su desempeño, adaptándose a las necesidades operativas.</text>
  </threadedComment>
  <threadedComment ref="K26" dT="2025-04-11T19:45:28.89" personId="{9EF5FA43-50E7-445E-9B83-FE2335F608E1}" id="{B13AA0E4-57BD-4699-9C56-3A3B6FCDF577}">
    <text>fonYou dispone soluciones bajo un modelo PaaS (Plataforma como servicio), donde se proporciona alojamiento en una infraestructura cloud que cuenta con un entorno y sistema operativo adecuado para el desarrollo, compilación y despliegue de aplicaciones. Facilitando de esta forma el mantenimiento, disponibilidad, uso eficiente de recursos y capacidad escalable conforme al tráfico recibido.</text>
  </threadedComment>
  <threadedComment ref="E27" dT="2025-04-10T22:31:43.01" personId="{730D6F78-8A23-4FE9-934B-2579A71C67E2}" id="{B6D49223-D06C-46FC-A823-C894CF116AC0}">
    <text>Permite la integración con múltiples canales de atención, como web, chat, WhatsApp y voz, proporciona flexibilidad para que los técnicos puedan interactuar con la solución
desde diferentes entornos, mejorando la cobertura y la accesibilidad en el soporte en campo.</text>
  </threadedComment>
  <threadedComment ref="G27" dT="2025-04-11T16:09:11.66" personId="{53A256FB-5222-4BF2-AB42-D72ADE9EDFB6}" id="{CAA7BE7D-8540-4BE0-8473-F74D6725862F}">
    <text xml:space="preserve">Soporte multiplataforma: Whatsapp, Messenger, App móviles y web </text>
  </threadedComment>
  <threadedComment ref="H27" dT="2025-04-11T14:44:47.41" personId="{730D6F78-8A23-4FE9-934B-2579A71C67E2}" id="{D9F50B0B-4FFF-47F8-876E-479BA9EBD8E4}">
    <text>GlobalHitss presenta una solución basada en inteligencia artificial para la automatización y mejora de la experiencia de los técnicos mediante una línea certificada de WhatsApp.</text>
  </threadedComment>
  <threadedComment ref="E28" dT="2025-04-10T22:32:03.43" personId="{730D6F78-8A23-4FE9-934B-2579A71C67E2}" id="{911A7BE4-A10A-450A-BD3F-FD2755F67F36}">
    <text>Se realizaran sesiones de capacitación específicas adaptadas a cada grupo de interés. Los dueños de procesos participan en talleres estratégicos para entender cómo la automatización impactará en sus áreas y  cómo pueden aprovechar las nuevas funcionalidades. El equipo técnico que soporta las aplicaciones integradas recibe formación técnica especializada sobre la interacción entre los sistemas y la solución propuesta. Para el equipo de backoffice (Nivel 2), se realizan prácticas centradas en la gestión de escalamientos y resolución de casos complejos que no son resueltos por el agente virtual. Los técnicos de campo, como usuarios principales de la solución, reciben capacitación práctica sobre el uso de los asistentes 
virtuales y los procedimientos automatizados. La metodología combina teoría y práctica, utilizando simulaciones de casos reales y documentación detallada.</text>
  </threadedComment>
  <threadedComment ref="G28" dT="2025-04-11T16:07:59.15" personId="{53A256FB-5222-4BF2-AB42-D72ADE9EDFB6}" id="{F7BAB4EC-D1CC-4566-8800-4DA9E0CDA575}">
    <text xml:space="preserve">Manejo del cambio organizacional y capacitación a usuarios finales es responsabilidad de Comcel. • Comcel debe disponer al proyecto 1 técnico de campo asignado al proyecto a tiempo completo ( Entrenamiento del Bot, 3 meses y set de pruebas, check listpredefinido con criterios de aceptación ). </text>
  </threadedComment>
  <threadedComment ref="H28" dT="2025-04-11T14:45:53.34" personId="{730D6F78-8A23-4FE9-934B-2579A71C67E2}" id="{9A9F096F-86E7-4BB5-B2E0-ACB3595A77EF}">
    <text>Para el cumplimiento del servicio, HITSS propende por la construcción de un conocimiento estructurado en analítica especializada, capaz de evolucionar con oportunidad y efectividad hacia las tendencias de machine learning y evaluación de impacto y efectividad de los modelos.
Las actividades realizadas por el equipo HITSS serán acordadas con Claro al inicio de cada mes y monitoreadas cada semana, HITSS prestará la consultoría con los conocimientos requeridos para desarrollar los servicios y entregarlos de acuerdo con un plan de trabajo establecido entre el líder del servicio HITSS y Claro.</text>
  </threadedComment>
  <threadedComment ref="I28" dT="2025-04-11T13:22:24.47" personId="{9EF5FA43-50E7-445E-9B83-FE2335F608E1}" id="{FF277A6E-40CA-4285-BCC4-8F14083BC57F}">
    <text>Garantizar acceso a APIs y
documentación técnica</text>
  </threadedComment>
  <threadedComment ref="J28" dT="2025-04-11T16:30:43.87" personId="{9EF5FA43-50E7-445E-9B83-FE2335F608E1}" id="{B052A5D5-9590-4F34-915A-0D5991C6FE69}">
    <text>Capacitación y Acompañamiento:
•
Formación para los equipos técnicos y operativos en el uso eficiente de la herramienta.
•
Documentación de procesos y manuales de soporte.
•
Soporte continuo y mejoras evolutivas para asegurar la estabilidad y escalabilidad del canal.</text>
  </threadedComment>
  <threadedComment ref="K28" dT="2025-04-11T19:46:08.75" personId="{9EF5FA43-50E7-445E-9B83-FE2335F608E1}" id="{2FD4D06F-0541-42D1-A831-369496AFD2F5}">
    <text>6. CAPACITACIÓN Y DOCUMENTACIÓN</text>
  </threadedComment>
  <threadedComment ref="L28" dT="2025-04-11T17:05:19.72" personId="{730D6F78-8A23-4FE9-934B-2579A71C67E2}" id="{90435257-A251-498A-8EA0-B66C2577E11A}">
    <text>Adereso es una plataforma de atención digital omnicanal que centraliza la gestión de interacciones con clientes desde diferentes canales, como: ➢ WhatsApp </text>
  </threadedComment>
  <threadedComment ref="M28" dT="2025-04-11T17:19:17.30" personId="{730D6F78-8A23-4FE9-934B-2579A71C67E2}" id="{E8E505A8-42D2-482F-B2F4-55F4F5B008FF}">
    <text>Se realizará transferencia de conocimiento, esto no incluye formación técnica en las herramientas solicitadas.</text>
  </threadedComment>
  <threadedComment ref="E29" dT="2025-04-10T22:32:54.24" personId="{730D6F78-8A23-4FE9-934B-2579A71C67E2}" id="{B5669DAE-8286-4ECE-9141-9F8615829F2C}">
    <text>Soporte: 7 * 24 (1 año), ANS para aplicación de misión crítica. (OFSC = WFM)</text>
  </threadedComment>
  <threadedComment ref="G29" dT="2025-04-11T16:10:12.22" personId="{53A256FB-5222-4BF2-AB42-D72ADE9EDFB6}" id="{BF951E42-4FC9-469C-BF86-B850CE544729}">
    <text xml:space="preserve">Robot Nivel 1 (AI - Interacción con técnicos) Monto anual; ¨SaaS Like¨ (incluido soporte y monitoreo 7X24 y ajustes básicos de prompts), tiene una capacidad incluida de hasta 150.000 conversaciones mensuales. Se planea la capacidad del bot para atender hasta 3.000 usuarios/día. Pagos mensuales anticipados a partir del mes 13. </text>
  </threadedComment>
  <threadedComment ref="H29" dT="2025-04-11T14:49:11.04" personId="{730D6F78-8A23-4FE9-934B-2579A71C67E2}" id="{44EE572C-AF7B-4BF4-88E1-8C2A88927DB1}">
    <text>CLARO es propietaria de los archivos que se encuentran en los computadores y realizará una copia de seguridad y borrado de esta información al finalizar el contrato. Es importante tener en cuenta que el SLA no aplicará cuando se obstaculice la gestión de los proyectos o procesos por parte de CLARO.
CLARO debe garantizar la continuidad de la demanda del servicio de acuerdo con la capacidad de recursos.</text>
  </threadedComment>
  <threadedComment ref="J29" dT="2025-04-11T16:31:13.26" personId="{9EF5FA43-50E7-445E-9B83-FE2335F608E1}" id="{5A80A594-C0B1-4925-BCD4-D53C464AA5C7}">
    <text>6. Soporte y acuerdo de niveles de servicio (SLA)</text>
  </threadedComment>
  <threadedComment ref="K29" dT="2025-04-11T19:46:37.74" personId="{9EF5FA43-50E7-445E-9B83-FE2335F608E1}" id="{C5ECD56A-0798-4963-BD46-BEC7BF65070E}">
    <text>7.2 Soporte técnico 24x7</text>
  </threadedComment>
  <threadedComment ref="M29" dT="2025-04-11T18:28:39.60" personId="{730D6F78-8A23-4FE9-934B-2579A71C67E2}" id="{2533D20D-B973-4564-AFCC-ED9CFBECE0B8}">
    <text>Anexo Esquema de Soporte IBM</text>
  </threadedComment>
</ThreadedComments>
</file>

<file path=xl/threadedComments/threadedComment2.xml><?xml version="1.0" encoding="utf-8"?>
<ThreadedComments xmlns="http://schemas.microsoft.com/office/spreadsheetml/2018/threadedcomments" xmlns:x="http://schemas.openxmlformats.org/spreadsheetml/2006/main">
  <threadedComment ref="H1" dT="2025-04-10T20:24:39.46" personId="{730D6F78-8A23-4FE9-934B-2579A71C67E2}" id="{A321B81E-8A82-4AFD-8D12-4B862B249545}">
    <text>En línea con su autoevaluación.</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E6A9A-7D1D-42F3-B8BF-140DF9E8E84B}">
  <dimension ref="B1:N13"/>
  <sheetViews>
    <sheetView showGridLines="0" zoomScale="98" zoomScaleNormal="98" workbookViewId="0">
      <pane xSplit="1" ySplit="1" topLeftCell="B8" activePane="bottomRight" state="frozen"/>
      <selection pane="topRight" activeCell="D1" sqref="D1"/>
      <selection pane="bottomLeft" activeCell="A5" sqref="A5"/>
      <selection pane="bottomRight" activeCell="E10" sqref="E10"/>
    </sheetView>
  </sheetViews>
  <sheetFormatPr baseColWidth="10" defaultColWidth="9.140625" defaultRowHeight="12.75" x14ac:dyDescent="0.2"/>
  <cols>
    <col min="1" max="1" width="3.5703125" customWidth="1"/>
    <col min="2" max="2" width="75" style="4" customWidth="1"/>
    <col min="3" max="3" width="30.85546875" style="4" customWidth="1"/>
    <col min="4" max="4" width="15.7109375" style="1" bestFit="1" customWidth="1"/>
    <col min="6" max="6" width="6.7109375" style="6" customWidth="1"/>
    <col min="7" max="7" width="10.7109375" style="6" customWidth="1"/>
    <col min="9" max="9" width="7.5703125" style="6" customWidth="1"/>
    <col min="10" max="11" width="8.28515625" style="1" customWidth="1"/>
    <col min="12" max="12" width="6.85546875" style="6" customWidth="1"/>
    <col min="13" max="13" width="8.140625" style="6" customWidth="1"/>
    <col min="14" max="14" width="7.5703125" style="6" customWidth="1"/>
  </cols>
  <sheetData>
    <row r="1" spans="2:14" ht="53.25" x14ac:dyDescent="0.2">
      <c r="B1" s="3" t="s">
        <v>0</v>
      </c>
      <c r="C1" s="3" t="s">
        <v>1</v>
      </c>
      <c r="D1" s="10" t="s">
        <v>2</v>
      </c>
      <c r="E1" s="7" t="s">
        <v>3</v>
      </c>
      <c r="F1" s="7" t="s">
        <v>4</v>
      </c>
      <c r="G1" s="7" t="s">
        <v>5</v>
      </c>
      <c r="H1" s="7" t="s">
        <v>6</v>
      </c>
      <c r="I1" s="7" t="s">
        <v>7</v>
      </c>
      <c r="J1" s="7" t="s">
        <v>8</v>
      </c>
      <c r="K1" s="7" t="s">
        <v>9</v>
      </c>
      <c r="L1" s="7" t="s">
        <v>10</v>
      </c>
      <c r="M1" s="7" t="s">
        <v>11</v>
      </c>
      <c r="N1"/>
    </row>
    <row r="2" spans="2:14" ht="140.25" x14ac:dyDescent="0.2">
      <c r="B2" s="5" t="s">
        <v>12</v>
      </c>
      <c r="C2" s="5" t="s">
        <v>13</v>
      </c>
      <c r="D2" s="8">
        <v>2</v>
      </c>
      <c r="E2" s="9">
        <v>2</v>
      </c>
      <c r="F2" s="9">
        <v>2</v>
      </c>
      <c r="G2" s="9">
        <v>2</v>
      </c>
      <c r="H2" s="9">
        <v>1</v>
      </c>
      <c r="I2" s="9">
        <v>2</v>
      </c>
      <c r="J2" s="9">
        <v>2</v>
      </c>
      <c r="K2" s="9">
        <v>2</v>
      </c>
      <c r="L2" s="9">
        <v>2</v>
      </c>
      <c r="M2" s="9">
        <v>2</v>
      </c>
      <c r="N2"/>
    </row>
    <row r="3" spans="2:14" ht="136.5" customHeight="1" x14ac:dyDescent="0.2">
      <c r="B3" s="5" t="s">
        <v>14</v>
      </c>
      <c r="C3" s="5" t="s">
        <v>13</v>
      </c>
      <c r="D3" s="8">
        <v>2</v>
      </c>
      <c r="E3" s="9">
        <v>2</v>
      </c>
      <c r="F3" s="9">
        <v>2</v>
      </c>
      <c r="G3" s="9">
        <v>1</v>
      </c>
      <c r="H3" s="9">
        <v>2</v>
      </c>
      <c r="I3" s="9">
        <v>1</v>
      </c>
      <c r="J3" s="9">
        <v>2</v>
      </c>
      <c r="K3" s="9">
        <v>2</v>
      </c>
      <c r="L3" s="9">
        <v>2</v>
      </c>
      <c r="M3" s="9">
        <v>2</v>
      </c>
      <c r="N3"/>
    </row>
    <row r="4" spans="2:14" ht="86.25" customHeight="1" x14ac:dyDescent="0.2">
      <c r="B4" s="5" t="s">
        <v>15</v>
      </c>
      <c r="C4" s="5" t="s">
        <v>13</v>
      </c>
      <c r="D4" s="8">
        <v>2</v>
      </c>
      <c r="E4" s="9">
        <v>2</v>
      </c>
      <c r="F4" s="9">
        <v>2</v>
      </c>
      <c r="G4" s="9">
        <v>2</v>
      </c>
      <c r="H4" s="9">
        <v>2</v>
      </c>
      <c r="I4" s="9">
        <v>2</v>
      </c>
      <c r="J4" s="9">
        <v>2</v>
      </c>
      <c r="K4" s="9">
        <v>2</v>
      </c>
      <c r="L4" s="9">
        <v>2</v>
      </c>
      <c r="M4" s="9">
        <v>2</v>
      </c>
      <c r="N4"/>
    </row>
    <row r="5" spans="2:14" ht="51" x14ac:dyDescent="0.2">
      <c r="B5" s="5" t="s">
        <v>16</v>
      </c>
      <c r="C5" s="5" t="s">
        <v>13</v>
      </c>
      <c r="D5" s="8">
        <v>2</v>
      </c>
      <c r="E5" s="9">
        <v>2</v>
      </c>
      <c r="F5" s="9">
        <v>2</v>
      </c>
      <c r="G5" s="9">
        <v>2</v>
      </c>
      <c r="H5" s="9">
        <v>2</v>
      </c>
      <c r="I5" s="9">
        <v>1</v>
      </c>
      <c r="J5" s="9">
        <v>2</v>
      </c>
      <c r="K5" s="9">
        <v>2</v>
      </c>
      <c r="L5" s="9">
        <v>2</v>
      </c>
      <c r="M5" s="9">
        <v>1</v>
      </c>
      <c r="N5"/>
    </row>
    <row r="6" spans="2:14" ht="51" x14ac:dyDescent="0.2">
      <c r="B6" s="5" t="s">
        <v>17</v>
      </c>
      <c r="C6" s="5" t="s">
        <v>13</v>
      </c>
      <c r="D6" s="8">
        <v>2</v>
      </c>
      <c r="E6" s="9">
        <v>1</v>
      </c>
      <c r="F6" s="9">
        <v>0</v>
      </c>
      <c r="G6" s="9">
        <v>1</v>
      </c>
      <c r="H6" s="9">
        <v>1</v>
      </c>
      <c r="I6" s="9">
        <v>0</v>
      </c>
      <c r="J6" s="9">
        <v>1</v>
      </c>
      <c r="K6" s="9">
        <v>1</v>
      </c>
      <c r="L6" s="9">
        <v>0</v>
      </c>
      <c r="M6" s="9">
        <v>0</v>
      </c>
      <c r="N6"/>
    </row>
    <row r="7" spans="2:14" ht="76.5" x14ac:dyDescent="0.2">
      <c r="B7" s="5" t="s">
        <v>18</v>
      </c>
      <c r="C7" s="5" t="s">
        <v>13</v>
      </c>
      <c r="D7" s="8">
        <v>2</v>
      </c>
      <c r="E7" s="9">
        <v>1</v>
      </c>
      <c r="F7" s="9">
        <v>0</v>
      </c>
      <c r="G7" s="9">
        <v>2</v>
      </c>
      <c r="H7" s="9">
        <v>1</v>
      </c>
      <c r="I7" s="9">
        <v>0</v>
      </c>
      <c r="J7" s="9">
        <v>1</v>
      </c>
      <c r="K7" s="9">
        <v>1</v>
      </c>
      <c r="L7" s="9">
        <v>0</v>
      </c>
      <c r="M7" s="9">
        <v>0</v>
      </c>
      <c r="N7"/>
    </row>
    <row r="8" spans="2:14" ht="63.75" x14ac:dyDescent="0.2">
      <c r="B8" s="5" t="s">
        <v>19</v>
      </c>
      <c r="C8" s="5" t="s">
        <v>13</v>
      </c>
      <c r="D8" s="8">
        <v>2</v>
      </c>
      <c r="E8" s="9">
        <v>2</v>
      </c>
      <c r="F8" s="9">
        <v>1</v>
      </c>
      <c r="G8" s="9">
        <v>2</v>
      </c>
      <c r="H8" s="9">
        <v>2</v>
      </c>
      <c r="I8" s="9">
        <v>0</v>
      </c>
      <c r="J8" s="9">
        <v>2</v>
      </c>
      <c r="K8" s="9">
        <v>2</v>
      </c>
      <c r="L8" s="9">
        <v>0</v>
      </c>
      <c r="M8" s="9">
        <v>0</v>
      </c>
      <c r="N8"/>
    </row>
    <row r="9" spans="2:14" ht="63.75" x14ac:dyDescent="0.2">
      <c r="B9" s="5" t="s">
        <v>20</v>
      </c>
      <c r="C9" s="5" t="s">
        <v>13</v>
      </c>
      <c r="D9" s="8">
        <v>2</v>
      </c>
      <c r="E9" s="9">
        <v>2</v>
      </c>
      <c r="F9" s="9">
        <v>1</v>
      </c>
      <c r="G9" s="9">
        <v>2</v>
      </c>
      <c r="H9" s="9">
        <v>1</v>
      </c>
      <c r="I9" s="9">
        <v>1</v>
      </c>
      <c r="J9" s="9">
        <v>0</v>
      </c>
      <c r="K9" s="9">
        <v>1</v>
      </c>
      <c r="L9" s="9">
        <v>1</v>
      </c>
      <c r="M9" s="9">
        <v>1</v>
      </c>
      <c r="N9"/>
    </row>
    <row r="10" spans="2:14" ht="51" x14ac:dyDescent="0.2">
      <c r="B10" s="5" t="s">
        <v>21</v>
      </c>
      <c r="C10" s="5" t="s">
        <v>13</v>
      </c>
      <c r="D10" s="8">
        <v>2</v>
      </c>
      <c r="E10" s="9">
        <v>2</v>
      </c>
      <c r="F10" s="9">
        <v>0</v>
      </c>
      <c r="G10" s="9">
        <v>2</v>
      </c>
      <c r="H10" s="9">
        <v>2</v>
      </c>
      <c r="I10" s="9">
        <v>1</v>
      </c>
      <c r="J10" s="9">
        <v>2</v>
      </c>
      <c r="K10" s="9">
        <v>1</v>
      </c>
      <c r="L10" s="9">
        <v>0</v>
      </c>
      <c r="M10" s="9">
        <v>0</v>
      </c>
      <c r="N10"/>
    </row>
    <row r="11" spans="2:14" ht="63.75" x14ac:dyDescent="0.2">
      <c r="B11" s="5" t="s">
        <v>22</v>
      </c>
      <c r="C11" s="5" t="s">
        <v>13</v>
      </c>
      <c r="D11" s="8">
        <v>2</v>
      </c>
      <c r="E11" s="9">
        <v>2</v>
      </c>
      <c r="F11" s="9">
        <v>0</v>
      </c>
      <c r="G11" s="9">
        <v>2</v>
      </c>
      <c r="H11" s="9">
        <v>1</v>
      </c>
      <c r="I11" s="9">
        <v>0</v>
      </c>
      <c r="J11" s="9">
        <v>0</v>
      </c>
      <c r="K11" s="9">
        <v>1</v>
      </c>
      <c r="L11" s="9">
        <v>0</v>
      </c>
      <c r="M11" s="9">
        <v>0</v>
      </c>
      <c r="N11"/>
    </row>
    <row r="12" spans="2:14" x14ac:dyDescent="0.2">
      <c r="C12" s="20" t="s">
        <v>23</v>
      </c>
      <c r="D12" s="17">
        <f t="shared" ref="D12:M12" si="0">SUM(D2:D11)</f>
        <v>20</v>
      </c>
      <c r="E12" s="17">
        <f t="shared" si="0"/>
        <v>18</v>
      </c>
      <c r="F12" s="17">
        <f t="shared" si="0"/>
        <v>10</v>
      </c>
      <c r="G12" s="17">
        <f t="shared" si="0"/>
        <v>18</v>
      </c>
      <c r="H12" s="17">
        <f t="shared" si="0"/>
        <v>15</v>
      </c>
      <c r="I12" s="17">
        <f t="shared" si="0"/>
        <v>8</v>
      </c>
      <c r="J12" s="17">
        <f t="shared" si="0"/>
        <v>14</v>
      </c>
      <c r="K12" s="17">
        <f t="shared" si="0"/>
        <v>15</v>
      </c>
      <c r="L12" s="17">
        <f t="shared" si="0"/>
        <v>9</v>
      </c>
      <c r="M12" s="17">
        <f t="shared" si="0"/>
        <v>8</v>
      </c>
      <c r="N12"/>
    </row>
    <row r="13" spans="2:14" x14ac:dyDescent="0.2">
      <c r="C13" s="20" t="s">
        <v>24</v>
      </c>
      <c r="D13" s="17">
        <f>D12/5</f>
        <v>4</v>
      </c>
      <c r="E13" s="9" cm="1">
        <f t="array" ref="E13">_xlfn.IFS(E12=0,0,E12&lt;4,1,E12&lt;8,2,E12&lt;12,3,E12&lt;16,4,E12&lt;=20,5)</f>
        <v>5</v>
      </c>
      <c r="F13" s="9" cm="1">
        <f t="array" ref="F13">_xlfn.IFS(F12=0,0,F12&lt;4,1,F12&lt;8,2,F12&lt;12,3,F12&lt;16,4,F12&lt;=20,5)</f>
        <v>3</v>
      </c>
      <c r="G13" s="9" cm="1">
        <f t="array" ref="G13">_xlfn.IFS(G12=0,0,G12&lt;4,1,G12&lt;8,2,G12&lt;12,3,G12&lt;16,4,G12&lt;=20,5)</f>
        <v>5</v>
      </c>
      <c r="H13" s="9" cm="1">
        <f t="array" ref="H13">_xlfn.IFS(H12=0,0,H12&lt;4,1,H12&lt;8,2,H12&lt;12,3,H12&lt;16,4,H12&lt;=20,5)</f>
        <v>4</v>
      </c>
      <c r="I13" s="9" cm="1">
        <f t="array" ref="I13">_xlfn.IFS(I12=0,0,I12&lt;4,1,I12&lt;8,2,I12&lt;12,3,I12&lt;16,4,I12&lt;=20,5)</f>
        <v>3</v>
      </c>
      <c r="J13" s="9" cm="1">
        <f t="array" ref="J13">_xlfn.IFS(J12=0,0,J12&lt;4,1,J12&lt;8,2,J12&lt;12,3,J12&lt;16,4,J12&lt;=20,5)</f>
        <v>4</v>
      </c>
      <c r="K13" s="9" cm="1">
        <f t="array" ref="K13">_xlfn.IFS(K12=0,0,K12&lt;4,1,K12&lt;8,2,K12&lt;12,3,K12&lt;16,4,K12&lt;=20,5)</f>
        <v>4</v>
      </c>
      <c r="L13" s="9" cm="1">
        <f t="array" ref="L13">_xlfn.IFS(L12=0,0,L12&lt;4,1,L12&lt;8,2,L12&lt;12,3,L12&lt;16,4,L12&lt;=20,5)</f>
        <v>3</v>
      </c>
      <c r="M13" s="9" cm="1">
        <f t="array" ref="M13">_xlfn.IFS(M12=0,0,M12&lt;4,1,M12&lt;8,2,M12&lt;12,3,M12&lt;16,4,M12&lt;=20,5)</f>
        <v>3</v>
      </c>
    </row>
  </sheetData>
  <phoneticPr fontId="3" type="noConversion"/>
  <pageMargins left="0.7" right="0.7" top="0.75" bottom="0.75" header="0.3" footer="0.3"/>
  <pageSetup orientation="portrait" r:id="rId1"/>
  <headerFooter>
    <oddFooter>&amp;C_x000D_&amp;1#&amp;"Calibri"&amp;6&amp;K000000 Clasificación: Uso Interno. Documento Claro Colombia</oddFoot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1DB8-C181-4C59-87A2-9D55490A4190}">
  <dimension ref="B1:M615"/>
  <sheetViews>
    <sheetView showGridLines="0" zoomScale="82" zoomScaleNormal="82" workbookViewId="0">
      <pane xSplit="2" topLeftCell="G1" activePane="topRight" state="frozen"/>
      <selection activeCell="A5" sqref="A5"/>
      <selection pane="topRight" activeCell="G30" sqref="G30"/>
    </sheetView>
  </sheetViews>
  <sheetFormatPr baseColWidth="10" defaultColWidth="9.140625" defaultRowHeight="12.75" x14ac:dyDescent="0.2"/>
  <cols>
    <col min="1" max="1" width="3.5703125" customWidth="1"/>
    <col min="2" max="2" width="57.7109375" style="4" customWidth="1"/>
    <col min="3" max="3" width="30.85546875" style="4" customWidth="1"/>
    <col min="4" max="4" width="15.7109375" style="3" bestFit="1" customWidth="1"/>
    <col min="6" max="6" width="6.7109375" style="6" customWidth="1"/>
    <col min="7" max="7" width="8.85546875" style="6" customWidth="1"/>
    <col min="9" max="9" width="7.5703125" style="6" customWidth="1"/>
    <col min="10" max="11" width="8.28515625" style="1" customWidth="1"/>
    <col min="12" max="12" width="6.85546875" style="6" customWidth="1"/>
    <col min="13" max="13" width="9.140625" style="2" bestFit="1" customWidth="1"/>
    <col min="14" max="20" width="9.140625" bestFit="1" customWidth="1"/>
  </cols>
  <sheetData>
    <row r="1" spans="2:13" ht="53.25" x14ac:dyDescent="0.2">
      <c r="B1" s="3" t="s">
        <v>0</v>
      </c>
      <c r="C1" s="3" t="s">
        <v>1</v>
      </c>
      <c r="D1" s="10" t="s">
        <v>2</v>
      </c>
      <c r="E1" s="28" t="s">
        <v>3</v>
      </c>
      <c r="F1" s="28" t="s">
        <v>4</v>
      </c>
      <c r="G1" s="28" t="s">
        <v>5</v>
      </c>
      <c r="H1" s="7" t="s">
        <v>6</v>
      </c>
      <c r="I1" s="29" t="s">
        <v>7</v>
      </c>
      <c r="J1" s="29" t="s">
        <v>8</v>
      </c>
      <c r="K1" s="29" t="s">
        <v>9</v>
      </c>
      <c r="L1" s="7" t="s">
        <v>10</v>
      </c>
      <c r="M1" s="7" t="s">
        <v>11</v>
      </c>
    </row>
    <row r="2" spans="2:13" ht="38.25" x14ac:dyDescent="0.2">
      <c r="B2" s="5" t="s">
        <v>25</v>
      </c>
      <c r="C2" s="5" t="s">
        <v>13</v>
      </c>
      <c r="D2" s="8">
        <v>2</v>
      </c>
      <c r="E2" s="9">
        <v>2</v>
      </c>
      <c r="F2" s="9">
        <v>2</v>
      </c>
      <c r="G2" s="9">
        <v>2</v>
      </c>
      <c r="H2" s="9">
        <v>2</v>
      </c>
      <c r="I2" s="9">
        <v>1</v>
      </c>
      <c r="J2" s="9">
        <v>2</v>
      </c>
      <c r="K2" s="9">
        <v>0</v>
      </c>
      <c r="L2" s="9">
        <v>2</v>
      </c>
      <c r="M2" s="9">
        <v>2</v>
      </c>
    </row>
    <row r="3" spans="2:13" ht="38.25" x14ac:dyDescent="0.2">
      <c r="B3" s="5" t="s">
        <v>26</v>
      </c>
      <c r="C3" s="5" t="s">
        <v>13</v>
      </c>
      <c r="D3" s="8">
        <v>2</v>
      </c>
      <c r="E3" s="9">
        <v>2</v>
      </c>
      <c r="F3" s="9">
        <v>2</v>
      </c>
      <c r="G3" s="9">
        <v>2</v>
      </c>
      <c r="H3" s="9">
        <v>2</v>
      </c>
      <c r="I3" s="9">
        <v>1</v>
      </c>
      <c r="J3" s="9">
        <v>2</v>
      </c>
      <c r="K3" s="9">
        <v>0</v>
      </c>
      <c r="L3" s="9">
        <v>2</v>
      </c>
      <c r="M3" s="9">
        <v>2</v>
      </c>
    </row>
    <row r="4" spans="2:13" ht="38.25" x14ac:dyDescent="0.2">
      <c r="B4" s="5" t="s">
        <v>27</v>
      </c>
      <c r="C4" s="5" t="s">
        <v>13</v>
      </c>
      <c r="D4" s="8">
        <v>2</v>
      </c>
      <c r="E4" s="9">
        <v>1</v>
      </c>
      <c r="F4" s="9">
        <v>0</v>
      </c>
      <c r="G4" s="9">
        <v>1</v>
      </c>
      <c r="H4" s="9">
        <v>0</v>
      </c>
      <c r="I4" s="9">
        <v>0</v>
      </c>
      <c r="J4" s="9">
        <v>2</v>
      </c>
      <c r="K4" s="9">
        <v>1</v>
      </c>
      <c r="L4" s="9">
        <v>1</v>
      </c>
      <c r="M4" s="9">
        <v>0</v>
      </c>
    </row>
    <row r="5" spans="2:13" ht="38.25" x14ac:dyDescent="0.2">
      <c r="B5" s="5" t="s">
        <v>28</v>
      </c>
      <c r="C5" s="5" t="s">
        <v>13</v>
      </c>
      <c r="D5" s="8">
        <v>2</v>
      </c>
      <c r="E5" s="9">
        <v>2</v>
      </c>
      <c r="F5" s="9">
        <v>2</v>
      </c>
      <c r="G5" s="9">
        <v>2</v>
      </c>
      <c r="H5" s="9">
        <v>2</v>
      </c>
      <c r="I5" s="9">
        <v>1</v>
      </c>
      <c r="J5" s="9">
        <v>0</v>
      </c>
      <c r="K5" s="9">
        <v>2</v>
      </c>
      <c r="L5" s="9">
        <v>2</v>
      </c>
      <c r="M5" s="9">
        <v>2</v>
      </c>
    </row>
    <row r="6" spans="2:13" ht="38.25" x14ac:dyDescent="0.2">
      <c r="B6" s="5" t="s">
        <v>29</v>
      </c>
      <c r="C6" s="5" t="s">
        <v>13</v>
      </c>
      <c r="D6" s="8">
        <v>2</v>
      </c>
      <c r="E6" s="9">
        <v>1</v>
      </c>
      <c r="F6" s="9">
        <v>2</v>
      </c>
      <c r="G6" s="9">
        <v>1</v>
      </c>
      <c r="H6" s="9">
        <v>2</v>
      </c>
      <c r="I6" s="9">
        <v>1</v>
      </c>
      <c r="J6" s="9">
        <v>1</v>
      </c>
      <c r="K6" s="9">
        <v>1</v>
      </c>
      <c r="L6" s="9">
        <v>1</v>
      </c>
      <c r="M6" s="9">
        <v>1</v>
      </c>
    </row>
    <row r="7" spans="2:13" ht="38.25" x14ac:dyDescent="0.2">
      <c r="B7" s="5" t="s">
        <v>30</v>
      </c>
      <c r="C7" s="5" t="s">
        <v>13</v>
      </c>
      <c r="D7" s="8">
        <v>2</v>
      </c>
      <c r="E7" s="9">
        <v>2</v>
      </c>
      <c r="F7" s="9">
        <v>0</v>
      </c>
      <c r="G7" s="9">
        <v>1</v>
      </c>
      <c r="H7" s="9">
        <v>2</v>
      </c>
      <c r="I7" s="9">
        <v>0</v>
      </c>
      <c r="J7" s="9">
        <v>0</v>
      </c>
      <c r="K7" s="9">
        <v>1</v>
      </c>
      <c r="L7" s="9">
        <v>2</v>
      </c>
      <c r="M7" s="9">
        <v>2</v>
      </c>
    </row>
    <row r="8" spans="2:13" ht="38.25" x14ac:dyDescent="0.2">
      <c r="B8" s="5" t="s">
        <v>31</v>
      </c>
      <c r="C8" s="5" t="s">
        <v>13</v>
      </c>
      <c r="D8" s="8">
        <v>2</v>
      </c>
      <c r="E8" s="9">
        <v>1</v>
      </c>
      <c r="F8" s="9">
        <v>2</v>
      </c>
      <c r="G8" s="9">
        <v>1</v>
      </c>
      <c r="H8" s="9">
        <v>1</v>
      </c>
      <c r="I8" s="9">
        <v>0</v>
      </c>
      <c r="J8" s="9">
        <v>0</v>
      </c>
      <c r="K8" s="9">
        <v>2</v>
      </c>
      <c r="L8" s="9">
        <v>2</v>
      </c>
      <c r="M8" s="9">
        <v>0</v>
      </c>
    </row>
    <row r="9" spans="2:13" ht="38.25" x14ac:dyDescent="0.2">
      <c r="B9" s="5" t="s">
        <v>32</v>
      </c>
      <c r="C9" s="5" t="s">
        <v>13</v>
      </c>
      <c r="D9" s="8">
        <v>2</v>
      </c>
      <c r="E9" s="9">
        <v>1</v>
      </c>
      <c r="F9" s="9">
        <v>1</v>
      </c>
      <c r="G9" s="9">
        <v>2</v>
      </c>
      <c r="H9" s="9">
        <v>1</v>
      </c>
      <c r="I9" s="9">
        <v>0</v>
      </c>
      <c r="J9" s="9">
        <v>1</v>
      </c>
      <c r="K9" s="9">
        <v>1</v>
      </c>
      <c r="L9" s="9">
        <v>0</v>
      </c>
      <c r="M9" s="9">
        <v>2</v>
      </c>
    </row>
    <row r="10" spans="2:13" ht="38.25" x14ac:dyDescent="0.2">
      <c r="B10" s="5" t="s">
        <v>33</v>
      </c>
      <c r="C10" s="5" t="s">
        <v>13</v>
      </c>
      <c r="D10" s="8">
        <v>2</v>
      </c>
      <c r="E10" s="9">
        <v>2</v>
      </c>
      <c r="F10" s="9">
        <v>0</v>
      </c>
      <c r="G10" s="9">
        <v>2</v>
      </c>
      <c r="H10" s="9">
        <v>2</v>
      </c>
      <c r="I10" s="9">
        <v>0</v>
      </c>
      <c r="J10" s="9">
        <v>1</v>
      </c>
      <c r="K10" s="9">
        <v>0</v>
      </c>
      <c r="L10" s="9">
        <v>2</v>
      </c>
      <c r="M10" s="9">
        <v>0</v>
      </c>
    </row>
    <row r="11" spans="2:13" ht="38.25" x14ac:dyDescent="0.2">
      <c r="B11" s="5" t="s">
        <v>34</v>
      </c>
      <c r="C11" s="5" t="s">
        <v>13</v>
      </c>
      <c r="D11" s="8">
        <v>2</v>
      </c>
      <c r="E11" s="9">
        <v>0</v>
      </c>
      <c r="F11" s="9">
        <v>2</v>
      </c>
      <c r="G11" s="9">
        <v>2</v>
      </c>
      <c r="H11" s="9">
        <v>2</v>
      </c>
      <c r="I11" s="9">
        <v>0</v>
      </c>
      <c r="J11" s="9">
        <v>0</v>
      </c>
      <c r="K11" s="9">
        <v>0</v>
      </c>
      <c r="L11" s="9">
        <v>2</v>
      </c>
      <c r="M11" s="9">
        <v>2</v>
      </c>
    </row>
    <row r="12" spans="2:13" ht="38.25" x14ac:dyDescent="0.2">
      <c r="B12" s="5" t="s">
        <v>35</v>
      </c>
      <c r="C12" s="5" t="s">
        <v>13</v>
      </c>
      <c r="D12" s="8">
        <v>2</v>
      </c>
      <c r="E12" s="9">
        <v>0</v>
      </c>
      <c r="F12" s="9">
        <v>0</v>
      </c>
      <c r="G12" s="9">
        <v>2</v>
      </c>
      <c r="H12" s="9">
        <v>0</v>
      </c>
      <c r="I12" s="9">
        <v>1</v>
      </c>
      <c r="J12" s="9">
        <v>2</v>
      </c>
      <c r="K12" s="9">
        <v>0</v>
      </c>
      <c r="L12" s="9">
        <v>1</v>
      </c>
      <c r="M12" s="9">
        <v>1</v>
      </c>
    </row>
    <row r="13" spans="2:13" ht="38.25" x14ac:dyDescent="0.2">
      <c r="B13" s="5" t="s">
        <v>36</v>
      </c>
      <c r="C13" s="5" t="s">
        <v>13</v>
      </c>
      <c r="D13" s="8">
        <v>2</v>
      </c>
      <c r="E13" s="9">
        <v>0</v>
      </c>
      <c r="F13" s="9">
        <v>0</v>
      </c>
      <c r="G13" s="9">
        <v>1</v>
      </c>
      <c r="H13" s="9">
        <v>1</v>
      </c>
      <c r="I13" s="9">
        <v>0</v>
      </c>
      <c r="J13" s="9">
        <v>1</v>
      </c>
      <c r="K13" s="9">
        <v>0</v>
      </c>
      <c r="L13" s="9">
        <v>1</v>
      </c>
      <c r="M13" s="9">
        <v>0</v>
      </c>
    </row>
    <row r="14" spans="2:13" ht="38.25" x14ac:dyDescent="0.2">
      <c r="B14" s="5" t="s">
        <v>37</v>
      </c>
      <c r="C14" s="5" t="s">
        <v>13</v>
      </c>
      <c r="D14" s="8">
        <v>2</v>
      </c>
      <c r="E14" s="9">
        <v>2</v>
      </c>
      <c r="F14" s="9">
        <v>1</v>
      </c>
      <c r="G14" s="9">
        <v>2</v>
      </c>
      <c r="H14" s="9">
        <v>2</v>
      </c>
      <c r="I14" s="9">
        <v>1</v>
      </c>
      <c r="J14" s="9">
        <v>0</v>
      </c>
      <c r="K14" s="9">
        <v>1</v>
      </c>
      <c r="L14" s="9">
        <v>2</v>
      </c>
      <c r="M14" s="9">
        <v>2</v>
      </c>
    </row>
    <row r="15" spans="2:13" ht="38.25" x14ac:dyDescent="0.2">
      <c r="B15" s="5" t="s">
        <v>38</v>
      </c>
      <c r="C15" s="5" t="s">
        <v>13</v>
      </c>
      <c r="D15" s="8">
        <v>2</v>
      </c>
      <c r="E15" s="9">
        <v>1</v>
      </c>
      <c r="F15" s="9">
        <v>0</v>
      </c>
      <c r="G15" s="9">
        <v>2</v>
      </c>
      <c r="H15" s="9">
        <v>1</v>
      </c>
      <c r="I15" s="9">
        <v>1</v>
      </c>
      <c r="J15" s="9">
        <v>1</v>
      </c>
      <c r="K15" s="9">
        <v>0</v>
      </c>
      <c r="L15" s="9">
        <v>2</v>
      </c>
      <c r="M15" s="9">
        <v>0</v>
      </c>
    </row>
    <row r="16" spans="2:13" ht="38.25" x14ac:dyDescent="0.2">
      <c r="B16" s="5" t="s">
        <v>39</v>
      </c>
      <c r="C16" s="5" t="s">
        <v>13</v>
      </c>
      <c r="D16" s="8">
        <v>2</v>
      </c>
      <c r="E16" s="9">
        <v>2</v>
      </c>
      <c r="F16" s="9">
        <v>2</v>
      </c>
      <c r="G16" s="9">
        <v>2</v>
      </c>
      <c r="H16" s="9">
        <v>2</v>
      </c>
      <c r="I16" s="9">
        <v>2</v>
      </c>
      <c r="J16" s="9">
        <v>2</v>
      </c>
      <c r="K16" s="9">
        <v>1</v>
      </c>
      <c r="L16" s="9">
        <v>2</v>
      </c>
      <c r="M16" s="9">
        <v>2</v>
      </c>
    </row>
    <row r="17" spans="2:13" ht="38.25" x14ac:dyDescent="0.2">
      <c r="B17" s="5" t="s">
        <v>40</v>
      </c>
      <c r="C17" s="5" t="s">
        <v>13</v>
      </c>
      <c r="D17" s="8">
        <v>2</v>
      </c>
      <c r="E17" s="9">
        <v>2</v>
      </c>
      <c r="F17" s="9">
        <v>0</v>
      </c>
      <c r="G17" s="9">
        <v>2</v>
      </c>
      <c r="H17" s="9">
        <v>1</v>
      </c>
      <c r="I17" s="9">
        <v>0</v>
      </c>
      <c r="J17" s="9">
        <v>1</v>
      </c>
      <c r="K17" s="9">
        <v>0</v>
      </c>
      <c r="L17" s="9">
        <v>2</v>
      </c>
      <c r="M17" s="9">
        <v>0</v>
      </c>
    </row>
    <row r="18" spans="2:13" ht="38.25" x14ac:dyDescent="0.2">
      <c r="B18" s="5" t="s">
        <v>41</v>
      </c>
      <c r="C18" s="5" t="s">
        <v>13</v>
      </c>
      <c r="D18" s="8">
        <v>2</v>
      </c>
      <c r="E18" s="9">
        <v>0</v>
      </c>
      <c r="F18" s="9">
        <v>0</v>
      </c>
      <c r="G18" s="9">
        <v>2</v>
      </c>
      <c r="H18" s="9">
        <v>0</v>
      </c>
      <c r="I18" s="9">
        <v>1</v>
      </c>
      <c r="J18" s="9">
        <v>1</v>
      </c>
      <c r="K18" s="9">
        <v>1</v>
      </c>
      <c r="L18" s="9">
        <v>0</v>
      </c>
      <c r="M18" s="9">
        <v>2</v>
      </c>
    </row>
    <row r="19" spans="2:13" ht="38.25" x14ac:dyDescent="0.2">
      <c r="B19" s="5" t="s">
        <v>42</v>
      </c>
      <c r="C19" s="5" t="s">
        <v>13</v>
      </c>
      <c r="D19" s="8">
        <v>2</v>
      </c>
      <c r="E19" s="9">
        <v>0</v>
      </c>
      <c r="F19" s="9">
        <v>0</v>
      </c>
      <c r="G19" s="9">
        <v>0</v>
      </c>
      <c r="H19" s="9">
        <v>0</v>
      </c>
      <c r="I19" s="9">
        <v>1</v>
      </c>
      <c r="J19" s="9">
        <v>0</v>
      </c>
      <c r="K19" s="9">
        <v>1</v>
      </c>
      <c r="L19" s="9">
        <v>2</v>
      </c>
      <c r="M19" s="9">
        <v>0</v>
      </c>
    </row>
    <row r="20" spans="2:13" ht="38.25" x14ac:dyDescent="0.2">
      <c r="B20" s="5" t="s">
        <v>43</v>
      </c>
      <c r="C20" s="5" t="s">
        <v>13</v>
      </c>
      <c r="D20" s="8">
        <v>2</v>
      </c>
      <c r="E20" s="9">
        <v>2</v>
      </c>
      <c r="F20" s="9">
        <v>2</v>
      </c>
      <c r="G20" s="9">
        <v>2</v>
      </c>
      <c r="H20" s="9">
        <v>0</v>
      </c>
      <c r="I20" s="9">
        <v>0</v>
      </c>
      <c r="J20" s="9">
        <v>0</v>
      </c>
      <c r="K20" s="9">
        <v>0</v>
      </c>
      <c r="L20" s="9">
        <v>2</v>
      </c>
      <c r="M20" s="9">
        <v>0</v>
      </c>
    </row>
    <row r="21" spans="2:13" ht="38.25" x14ac:dyDescent="0.2">
      <c r="B21" s="5" t="s">
        <v>44</v>
      </c>
      <c r="C21" s="5" t="s">
        <v>13</v>
      </c>
      <c r="D21" s="8">
        <v>2</v>
      </c>
      <c r="E21" s="9">
        <v>2</v>
      </c>
      <c r="F21" s="9">
        <v>0</v>
      </c>
      <c r="G21" s="9">
        <v>2</v>
      </c>
      <c r="H21" s="9">
        <v>2</v>
      </c>
      <c r="I21" s="9">
        <v>0</v>
      </c>
      <c r="J21" s="9">
        <v>1</v>
      </c>
      <c r="K21" s="9">
        <v>0</v>
      </c>
      <c r="L21" s="9">
        <v>2</v>
      </c>
      <c r="M21" s="9">
        <v>2</v>
      </c>
    </row>
    <row r="22" spans="2:13" ht="38.25" x14ac:dyDescent="0.2">
      <c r="B22" s="5" t="s">
        <v>45</v>
      </c>
      <c r="C22" s="5" t="s">
        <v>13</v>
      </c>
      <c r="D22" s="8">
        <v>2</v>
      </c>
      <c r="E22" s="9">
        <v>2</v>
      </c>
      <c r="F22" s="9">
        <v>0</v>
      </c>
      <c r="G22" s="9">
        <v>2</v>
      </c>
      <c r="H22" s="9">
        <v>2</v>
      </c>
      <c r="I22" s="9">
        <v>0</v>
      </c>
      <c r="J22" s="9">
        <v>2</v>
      </c>
      <c r="K22" s="9">
        <v>0</v>
      </c>
      <c r="L22" s="9">
        <v>2</v>
      </c>
      <c r="M22" s="9">
        <v>2</v>
      </c>
    </row>
    <row r="23" spans="2:13" ht="38.25" x14ac:dyDescent="0.2">
      <c r="B23" s="5" t="s">
        <v>46</v>
      </c>
      <c r="C23" s="5" t="s">
        <v>13</v>
      </c>
      <c r="D23" s="8">
        <v>2</v>
      </c>
      <c r="E23" s="9">
        <v>1</v>
      </c>
      <c r="F23" s="9">
        <v>0</v>
      </c>
      <c r="G23" s="9">
        <v>2</v>
      </c>
      <c r="H23" s="9">
        <v>0</v>
      </c>
      <c r="I23" s="9">
        <v>0</v>
      </c>
      <c r="J23" s="9">
        <v>0</v>
      </c>
      <c r="K23" s="9">
        <v>0</v>
      </c>
      <c r="L23" s="9">
        <v>2</v>
      </c>
      <c r="M23" s="9">
        <v>0</v>
      </c>
    </row>
    <row r="24" spans="2:13" ht="38.25" x14ac:dyDescent="0.2">
      <c r="B24" s="5" t="s">
        <v>47</v>
      </c>
      <c r="C24" s="5" t="s">
        <v>13</v>
      </c>
      <c r="D24" s="8">
        <v>2</v>
      </c>
      <c r="E24" s="9">
        <v>2</v>
      </c>
      <c r="F24" s="9">
        <v>1</v>
      </c>
      <c r="G24" s="9">
        <v>2</v>
      </c>
      <c r="H24" s="9">
        <v>0</v>
      </c>
      <c r="I24" s="9">
        <v>0</v>
      </c>
      <c r="J24" s="9">
        <v>0</v>
      </c>
      <c r="K24" s="9">
        <v>0</v>
      </c>
      <c r="L24" s="9">
        <v>0</v>
      </c>
      <c r="M24" s="9">
        <v>0</v>
      </c>
    </row>
    <row r="25" spans="2:13" ht="38.25" x14ac:dyDescent="0.2">
      <c r="B25" s="5" t="s">
        <v>48</v>
      </c>
      <c r="C25" s="5" t="s">
        <v>13</v>
      </c>
      <c r="D25" s="8">
        <v>2</v>
      </c>
      <c r="E25" s="9">
        <v>0</v>
      </c>
      <c r="F25" s="9">
        <v>0</v>
      </c>
      <c r="G25" s="9">
        <v>2</v>
      </c>
      <c r="H25" s="9">
        <v>2</v>
      </c>
      <c r="I25" s="9">
        <v>0</v>
      </c>
      <c r="J25" s="9">
        <v>0</v>
      </c>
      <c r="K25" s="9">
        <v>0</v>
      </c>
      <c r="L25" s="9">
        <v>1</v>
      </c>
      <c r="M25" s="9">
        <v>0</v>
      </c>
    </row>
    <row r="26" spans="2:13" ht="38.25" x14ac:dyDescent="0.2">
      <c r="B26" s="5" t="s">
        <v>49</v>
      </c>
      <c r="C26" s="5" t="s">
        <v>13</v>
      </c>
      <c r="D26" s="8">
        <v>2</v>
      </c>
      <c r="E26" s="9">
        <v>2</v>
      </c>
      <c r="F26" s="9">
        <v>0</v>
      </c>
      <c r="G26" s="9">
        <v>2</v>
      </c>
      <c r="H26" s="9">
        <v>0</v>
      </c>
      <c r="I26" s="9">
        <v>0</v>
      </c>
      <c r="J26" s="9">
        <v>1</v>
      </c>
      <c r="K26" s="9">
        <v>2</v>
      </c>
      <c r="L26" s="9">
        <v>0</v>
      </c>
      <c r="M26" s="9">
        <v>0</v>
      </c>
    </row>
    <row r="27" spans="2:13" ht="38.25" x14ac:dyDescent="0.2">
      <c r="B27" s="5" t="s">
        <v>50</v>
      </c>
      <c r="C27" s="5" t="s">
        <v>13</v>
      </c>
      <c r="D27" s="8">
        <v>2</v>
      </c>
      <c r="E27" s="9">
        <v>2</v>
      </c>
      <c r="F27" s="9">
        <v>2</v>
      </c>
      <c r="G27" s="9">
        <v>2</v>
      </c>
      <c r="H27" s="9">
        <v>2</v>
      </c>
      <c r="I27" s="9">
        <v>0</v>
      </c>
      <c r="J27" s="9">
        <v>0</v>
      </c>
      <c r="K27" s="9">
        <v>0</v>
      </c>
      <c r="L27" s="9">
        <v>2</v>
      </c>
      <c r="M27" s="9">
        <v>2</v>
      </c>
    </row>
    <row r="28" spans="2:13" ht="38.25" x14ac:dyDescent="0.2">
      <c r="B28" s="5" t="s">
        <v>51</v>
      </c>
      <c r="C28" s="5" t="s">
        <v>13</v>
      </c>
      <c r="D28" s="8">
        <v>2</v>
      </c>
      <c r="E28" s="9">
        <v>1</v>
      </c>
      <c r="F28" s="9">
        <v>2</v>
      </c>
      <c r="G28" s="9">
        <v>2</v>
      </c>
      <c r="H28" s="9">
        <v>2</v>
      </c>
      <c r="I28" s="9">
        <v>1</v>
      </c>
      <c r="J28" s="9">
        <v>2</v>
      </c>
      <c r="K28" s="9">
        <v>2</v>
      </c>
      <c r="L28" s="9">
        <v>2</v>
      </c>
      <c r="M28" s="9">
        <v>1</v>
      </c>
    </row>
    <row r="29" spans="2:13" ht="38.25" x14ac:dyDescent="0.2">
      <c r="B29" s="5" t="s">
        <v>52</v>
      </c>
      <c r="C29" s="5" t="s">
        <v>13</v>
      </c>
      <c r="D29" s="8">
        <v>2</v>
      </c>
      <c r="E29" s="9">
        <v>2</v>
      </c>
      <c r="F29" s="9">
        <v>2</v>
      </c>
      <c r="G29" s="9">
        <v>2</v>
      </c>
      <c r="H29" s="9">
        <v>1</v>
      </c>
      <c r="I29" s="9">
        <v>0</v>
      </c>
      <c r="J29" s="9">
        <v>2</v>
      </c>
      <c r="K29" s="9">
        <v>2</v>
      </c>
      <c r="L29" s="9">
        <v>2</v>
      </c>
      <c r="M29" s="9">
        <v>2</v>
      </c>
    </row>
    <row r="30" spans="2:13" x14ac:dyDescent="0.2">
      <c r="C30" s="20" t="s">
        <v>23</v>
      </c>
      <c r="D30" s="17">
        <f t="shared" ref="D30:M30" si="0">SUM(D2:D29)</f>
        <v>56</v>
      </c>
      <c r="E30" s="17">
        <f t="shared" si="0"/>
        <v>37</v>
      </c>
      <c r="F30" s="17">
        <f t="shared" si="0"/>
        <v>25</v>
      </c>
      <c r="G30" s="17">
        <f t="shared" si="0"/>
        <v>49</v>
      </c>
      <c r="H30" s="17">
        <f t="shared" si="0"/>
        <v>34</v>
      </c>
      <c r="I30" s="17">
        <f t="shared" si="0"/>
        <v>12</v>
      </c>
      <c r="J30" s="17">
        <f t="shared" si="0"/>
        <v>25</v>
      </c>
      <c r="K30" s="17">
        <f t="shared" si="0"/>
        <v>18</v>
      </c>
      <c r="L30" s="17">
        <f t="shared" si="0"/>
        <v>43</v>
      </c>
      <c r="M30" s="17">
        <f t="shared" si="0"/>
        <v>29</v>
      </c>
    </row>
    <row r="31" spans="2:13" x14ac:dyDescent="0.2">
      <c r="C31" s="20" t="s">
        <v>24</v>
      </c>
      <c r="D31" s="17">
        <f>D30/5</f>
        <v>11.2</v>
      </c>
      <c r="E31" s="9" cm="1">
        <f t="array" ref="E31">_xlfn.IFS(E30=0,0,E30&lt;12,1,E30&lt;24,2,E30&lt;38,3,E30&lt;48,4,E30&lt;=60,5)</f>
        <v>3</v>
      </c>
      <c r="F31" s="9" cm="1">
        <f t="array" ref="F31">_xlfn.IFS(F30=0,0,F30&lt;12,1,F30&lt;24,2,F30&lt;36,3,F30&lt;48,4,F30&lt;=60,5)</f>
        <v>3</v>
      </c>
      <c r="G31" s="9" cm="1">
        <f t="array" ref="G31">_xlfn.IFS(G30=0,0,G30&lt;12,1,G30&lt;24,2,G30&lt;36,3,G30&lt;48,4,G30&lt;=60,5)</f>
        <v>5</v>
      </c>
      <c r="H31" s="9" cm="1">
        <f t="array" ref="H31">_xlfn.IFS(H30=0,0,H30&lt;12,1,H30&lt;24,2,H30&lt;36,3,H30&lt;48,4,H30&lt;=60,5)</f>
        <v>3</v>
      </c>
      <c r="I31" s="9" cm="1">
        <f t="array" ref="I31">_xlfn.IFS(I30=0,0,I30&lt;12,1,I30&lt;24,2,I30&lt;36,3,I30&lt;48,4,I30&lt;=60,5)</f>
        <v>2</v>
      </c>
      <c r="J31" s="9" cm="1">
        <f t="array" ref="J31">_xlfn.IFS(J30=0,0,J30&lt;12,1,J30&lt;24,2,J30&lt;36,3,J30&lt;48,4,J30&lt;=60,5)</f>
        <v>3</v>
      </c>
      <c r="K31" s="9" cm="1">
        <f t="array" ref="K31">_xlfn.IFS(K30=0,0,K30&lt;12,1,K30&lt;24,2,K30&lt;36,3,K30&lt;48,4,K30&lt;=60,5)</f>
        <v>2</v>
      </c>
      <c r="L31" s="9" cm="1">
        <f t="array" ref="L31">_xlfn.IFS(L30=0,0,L30&lt;12,1,L30&lt;24,2,L30&lt;36,3,L30&lt;48,4,L30&lt;=60,5)</f>
        <v>4</v>
      </c>
      <c r="M31" s="9" cm="1">
        <f t="array" ref="M31">_xlfn.IFS(M30=0,0,M30&lt;12,1,M30&lt;24,2,M30&lt;36,3,M30&lt;48,4,M30&lt;=60,5)</f>
        <v>3</v>
      </c>
    </row>
    <row r="32" spans="2:13" x14ac:dyDescent="0.2">
      <c r="D32" s="4"/>
      <c r="M32" s="6"/>
    </row>
    <row r="33" spans="4:13" x14ac:dyDescent="0.2">
      <c r="D33" s="4"/>
      <c r="M33" s="6"/>
    </row>
    <row r="34" spans="4:13" x14ac:dyDescent="0.2">
      <c r="D34" s="4"/>
      <c r="M34" s="6"/>
    </row>
    <row r="35" spans="4:13" x14ac:dyDescent="0.2">
      <c r="D35" s="4"/>
      <c r="M35" s="6"/>
    </row>
    <row r="36" spans="4:13" x14ac:dyDescent="0.2">
      <c r="D36" s="4"/>
      <c r="M36" s="6"/>
    </row>
    <row r="37" spans="4:13" x14ac:dyDescent="0.2">
      <c r="D37" s="4"/>
      <c r="M37" s="6"/>
    </row>
    <row r="38" spans="4:13" x14ac:dyDescent="0.2">
      <c r="D38" s="4"/>
      <c r="M38" s="6"/>
    </row>
    <row r="39" spans="4:13" x14ac:dyDescent="0.2">
      <c r="D39" s="4"/>
      <c r="M39" s="6"/>
    </row>
    <row r="40" spans="4:13" x14ac:dyDescent="0.2">
      <c r="D40" s="4"/>
    </row>
    <row r="41" spans="4:13" x14ac:dyDescent="0.2">
      <c r="D41" s="4"/>
    </row>
    <row r="42" spans="4:13" x14ac:dyDescent="0.2">
      <c r="D42" s="4"/>
    </row>
    <row r="43" spans="4:13" x14ac:dyDescent="0.2">
      <c r="D43" s="4"/>
    </row>
    <row r="44" spans="4:13" x14ac:dyDescent="0.2">
      <c r="D44" s="4"/>
    </row>
    <row r="45" spans="4:13" x14ac:dyDescent="0.2">
      <c r="D45" s="4"/>
    </row>
    <row r="46" spans="4:13" x14ac:dyDescent="0.2">
      <c r="D46" s="4"/>
    </row>
    <row r="47" spans="4:13" x14ac:dyDescent="0.2">
      <c r="D47" s="4"/>
    </row>
    <row r="48" spans="4:13" x14ac:dyDescent="0.2">
      <c r="D48" s="4"/>
    </row>
    <row r="49" spans="4:4" x14ac:dyDescent="0.2">
      <c r="D49" s="4"/>
    </row>
    <row r="50" spans="4:4" x14ac:dyDescent="0.2">
      <c r="D50" s="4"/>
    </row>
    <row r="51" spans="4:4" x14ac:dyDescent="0.2">
      <c r="D51" s="4"/>
    </row>
    <row r="52" spans="4:4" x14ac:dyDescent="0.2">
      <c r="D52" s="4"/>
    </row>
    <row r="53" spans="4:4" x14ac:dyDescent="0.2">
      <c r="D53" s="4"/>
    </row>
    <row r="54" spans="4:4" x14ac:dyDescent="0.2">
      <c r="D54" s="4"/>
    </row>
    <row r="55" spans="4:4" x14ac:dyDescent="0.2">
      <c r="D55" s="4"/>
    </row>
    <row r="56" spans="4:4" x14ac:dyDescent="0.2">
      <c r="D56" s="4"/>
    </row>
    <row r="57" spans="4:4" x14ac:dyDescent="0.2">
      <c r="D57" s="4"/>
    </row>
    <row r="58" spans="4:4" x14ac:dyDescent="0.2">
      <c r="D58" s="4"/>
    </row>
    <row r="59" spans="4:4" x14ac:dyDescent="0.2">
      <c r="D59" s="4"/>
    </row>
    <row r="60" spans="4:4" x14ac:dyDescent="0.2">
      <c r="D60" s="4"/>
    </row>
    <row r="61" spans="4:4" x14ac:dyDescent="0.2">
      <c r="D61" s="4"/>
    </row>
    <row r="62" spans="4:4" x14ac:dyDescent="0.2">
      <c r="D62" s="4"/>
    </row>
    <row r="63" spans="4:4" x14ac:dyDescent="0.2">
      <c r="D63" s="4"/>
    </row>
    <row r="64" spans="4:4" x14ac:dyDescent="0.2">
      <c r="D64" s="4"/>
    </row>
    <row r="65" spans="4:4" x14ac:dyDescent="0.2">
      <c r="D65" s="4"/>
    </row>
    <row r="66" spans="4:4" x14ac:dyDescent="0.2">
      <c r="D66" s="4"/>
    </row>
    <row r="67" spans="4:4" x14ac:dyDescent="0.2">
      <c r="D67" s="4"/>
    </row>
    <row r="68" spans="4:4" x14ac:dyDescent="0.2">
      <c r="D68" s="4"/>
    </row>
    <row r="69" spans="4:4" x14ac:dyDescent="0.2">
      <c r="D69" s="4"/>
    </row>
    <row r="70" spans="4:4" x14ac:dyDescent="0.2">
      <c r="D70" s="4"/>
    </row>
    <row r="71" spans="4:4" x14ac:dyDescent="0.2">
      <c r="D71" s="4"/>
    </row>
    <row r="72" spans="4:4" x14ac:dyDescent="0.2">
      <c r="D72" s="4"/>
    </row>
    <row r="73" spans="4:4" x14ac:dyDescent="0.2">
      <c r="D73" s="4"/>
    </row>
    <row r="74" spans="4:4" x14ac:dyDescent="0.2">
      <c r="D74" s="4"/>
    </row>
    <row r="75" spans="4:4" x14ac:dyDescent="0.2">
      <c r="D75" s="4"/>
    </row>
    <row r="76" spans="4:4" x14ac:dyDescent="0.2">
      <c r="D76" s="4"/>
    </row>
    <row r="77" spans="4:4" x14ac:dyDescent="0.2">
      <c r="D77" s="4"/>
    </row>
    <row r="78" spans="4:4" x14ac:dyDescent="0.2">
      <c r="D78" s="4"/>
    </row>
    <row r="79" spans="4:4" x14ac:dyDescent="0.2">
      <c r="D79" s="4"/>
    </row>
    <row r="80" spans="4:4" x14ac:dyDescent="0.2">
      <c r="D80" s="4"/>
    </row>
    <row r="81" spans="4:4" x14ac:dyDescent="0.2">
      <c r="D81" s="4"/>
    </row>
    <row r="82" spans="4:4" x14ac:dyDescent="0.2">
      <c r="D82" s="4"/>
    </row>
    <row r="83" spans="4:4" x14ac:dyDescent="0.2">
      <c r="D83" s="4"/>
    </row>
    <row r="84" spans="4:4" x14ac:dyDescent="0.2">
      <c r="D84" s="4"/>
    </row>
    <row r="85" spans="4:4" x14ac:dyDescent="0.2">
      <c r="D85" s="4"/>
    </row>
    <row r="86" spans="4:4" x14ac:dyDescent="0.2">
      <c r="D86" s="4"/>
    </row>
    <row r="87" spans="4:4" x14ac:dyDescent="0.2">
      <c r="D87" s="4"/>
    </row>
    <row r="88" spans="4:4" x14ac:dyDescent="0.2">
      <c r="D88" s="4"/>
    </row>
    <row r="89" spans="4:4" x14ac:dyDescent="0.2">
      <c r="D89" s="4"/>
    </row>
    <row r="90" spans="4:4" x14ac:dyDescent="0.2">
      <c r="D90" s="4"/>
    </row>
    <row r="91" spans="4:4" x14ac:dyDescent="0.2">
      <c r="D91" s="4"/>
    </row>
    <row r="92" spans="4:4" x14ac:dyDescent="0.2">
      <c r="D92" s="4"/>
    </row>
    <row r="93" spans="4:4" x14ac:dyDescent="0.2">
      <c r="D93" s="4"/>
    </row>
    <row r="94" spans="4:4" x14ac:dyDescent="0.2">
      <c r="D94" s="4"/>
    </row>
    <row r="95" spans="4:4" x14ac:dyDescent="0.2">
      <c r="D95" s="4"/>
    </row>
    <row r="96" spans="4:4" x14ac:dyDescent="0.2">
      <c r="D96" s="4"/>
    </row>
    <row r="97" spans="4:4" x14ac:dyDescent="0.2">
      <c r="D97" s="4"/>
    </row>
    <row r="98" spans="4:4" x14ac:dyDescent="0.2">
      <c r="D98" s="4"/>
    </row>
    <row r="99" spans="4:4" x14ac:dyDescent="0.2">
      <c r="D99" s="4"/>
    </row>
    <row r="100" spans="4:4" x14ac:dyDescent="0.2">
      <c r="D100" s="4"/>
    </row>
    <row r="101" spans="4:4" x14ac:dyDescent="0.2">
      <c r="D101" s="4"/>
    </row>
    <row r="102" spans="4:4" x14ac:dyDescent="0.2">
      <c r="D102" s="4"/>
    </row>
    <row r="103" spans="4:4" x14ac:dyDescent="0.2">
      <c r="D103" s="4"/>
    </row>
    <row r="104" spans="4:4" x14ac:dyDescent="0.2">
      <c r="D104" s="4"/>
    </row>
    <row r="105" spans="4:4" x14ac:dyDescent="0.2">
      <c r="D105" s="4"/>
    </row>
    <row r="106" spans="4:4" x14ac:dyDescent="0.2">
      <c r="D106" s="4"/>
    </row>
    <row r="107" spans="4:4" x14ac:dyDescent="0.2">
      <c r="D107" s="4"/>
    </row>
    <row r="108" spans="4:4" x14ac:dyDescent="0.2">
      <c r="D108" s="4"/>
    </row>
    <row r="109" spans="4:4" x14ac:dyDescent="0.2">
      <c r="D109" s="4"/>
    </row>
    <row r="110" spans="4:4" x14ac:dyDescent="0.2">
      <c r="D110" s="4"/>
    </row>
    <row r="111" spans="4:4" x14ac:dyDescent="0.2">
      <c r="D111" s="4"/>
    </row>
    <row r="112" spans="4:4" x14ac:dyDescent="0.2">
      <c r="D112" s="4"/>
    </row>
    <row r="113" spans="4:4" x14ac:dyDescent="0.2">
      <c r="D113" s="4"/>
    </row>
    <row r="114" spans="4:4" x14ac:dyDescent="0.2">
      <c r="D114" s="4"/>
    </row>
    <row r="115" spans="4:4" x14ac:dyDescent="0.2">
      <c r="D115" s="4"/>
    </row>
    <row r="116" spans="4:4" x14ac:dyDescent="0.2">
      <c r="D116" s="4"/>
    </row>
    <row r="117" spans="4:4" x14ac:dyDescent="0.2">
      <c r="D117" s="4"/>
    </row>
    <row r="118" spans="4:4" x14ac:dyDescent="0.2">
      <c r="D118" s="4"/>
    </row>
    <row r="119" spans="4:4" x14ac:dyDescent="0.2">
      <c r="D119" s="4"/>
    </row>
    <row r="120" spans="4:4" x14ac:dyDescent="0.2">
      <c r="D120" s="4"/>
    </row>
    <row r="121" spans="4:4" x14ac:dyDescent="0.2">
      <c r="D121" s="4"/>
    </row>
    <row r="122" spans="4:4" x14ac:dyDescent="0.2">
      <c r="D122" s="4"/>
    </row>
    <row r="123" spans="4:4" x14ac:dyDescent="0.2">
      <c r="D123" s="4"/>
    </row>
    <row r="124" spans="4:4" x14ac:dyDescent="0.2">
      <c r="D124" s="4"/>
    </row>
    <row r="125" spans="4:4" x14ac:dyDescent="0.2">
      <c r="D125" s="4"/>
    </row>
    <row r="126" spans="4:4" x14ac:dyDescent="0.2">
      <c r="D126" s="4"/>
    </row>
    <row r="127" spans="4:4" x14ac:dyDescent="0.2">
      <c r="D127" s="4"/>
    </row>
    <row r="128" spans="4:4" x14ac:dyDescent="0.2">
      <c r="D128" s="4"/>
    </row>
    <row r="129" spans="4:4" x14ac:dyDescent="0.2">
      <c r="D129" s="4"/>
    </row>
    <row r="130" spans="4:4" x14ac:dyDescent="0.2">
      <c r="D130" s="4"/>
    </row>
    <row r="131" spans="4:4" x14ac:dyDescent="0.2">
      <c r="D131" s="4"/>
    </row>
    <row r="132" spans="4:4" x14ac:dyDescent="0.2">
      <c r="D132" s="4"/>
    </row>
    <row r="133" spans="4:4" x14ac:dyDescent="0.2">
      <c r="D133" s="4"/>
    </row>
    <row r="134" spans="4:4" x14ac:dyDescent="0.2">
      <c r="D134" s="4"/>
    </row>
    <row r="135" spans="4:4" x14ac:dyDescent="0.2">
      <c r="D135" s="4"/>
    </row>
    <row r="136" spans="4:4" x14ac:dyDescent="0.2">
      <c r="D136" s="4"/>
    </row>
    <row r="137" spans="4:4" x14ac:dyDescent="0.2">
      <c r="D137" s="4"/>
    </row>
    <row r="138" spans="4:4" x14ac:dyDescent="0.2">
      <c r="D138" s="4"/>
    </row>
    <row r="139" spans="4:4" x14ac:dyDescent="0.2">
      <c r="D139" s="4"/>
    </row>
    <row r="140" spans="4:4" x14ac:dyDescent="0.2">
      <c r="D140" s="4"/>
    </row>
    <row r="141" spans="4:4" x14ac:dyDescent="0.2">
      <c r="D141" s="4"/>
    </row>
    <row r="142" spans="4:4" x14ac:dyDescent="0.2">
      <c r="D142" s="4"/>
    </row>
    <row r="143" spans="4:4" x14ac:dyDescent="0.2">
      <c r="D143" s="4"/>
    </row>
    <row r="144" spans="4:4" x14ac:dyDescent="0.2">
      <c r="D144" s="4"/>
    </row>
    <row r="145" spans="4:4" x14ac:dyDescent="0.2">
      <c r="D145" s="4"/>
    </row>
    <row r="146" spans="4:4" x14ac:dyDescent="0.2">
      <c r="D146" s="4"/>
    </row>
    <row r="147" spans="4:4" x14ac:dyDescent="0.2">
      <c r="D147" s="4"/>
    </row>
    <row r="148" spans="4:4" x14ac:dyDescent="0.2">
      <c r="D148" s="4"/>
    </row>
    <row r="149" spans="4:4" x14ac:dyDescent="0.2">
      <c r="D149" s="4"/>
    </row>
    <row r="150" spans="4:4" x14ac:dyDescent="0.2">
      <c r="D150" s="4"/>
    </row>
    <row r="151" spans="4:4" x14ac:dyDescent="0.2">
      <c r="D151" s="4"/>
    </row>
    <row r="152" spans="4:4" x14ac:dyDescent="0.2">
      <c r="D152" s="4"/>
    </row>
    <row r="153" spans="4:4" x14ac:dyDescent="0.2">
      <c r="D153" s="4"/>
    </row>
    <row r="154" spans="4:4" x14ac:dyDescent="0.2">
      <c r="D154" s="4"/>
    </row>
    <row r="155" spans="4:4" x14ac:dyDescent="0.2">
      <c r="D155" s="4"/>
    </row>
    <row r="156" spans="4:4" x14ac:dyDescent="0.2">
      <c r="D156" s="4"/>
    </row>
    <row r="157" spans="4:4" x14ac:dyDescent="0.2">
      <c r="D157" s="4"/>
    </row>
    <row r="158" spans="4:4" x14ac:dyDescent="0.2">
      <c r="D158" s="4"/>
    </row>
    <row r="159" spans="4:4" x14ac:dyDescent="0.2">
      <c r="D159" s="4"/>
    </row>
    <row r="160" spans="4:4" x14ac:dyDescent="0.2">
      <c r="D160" s="4"/>
    </row>
    <row r="161" spans="4:4" x14ac:dyDescent="0.2">
      <c r="D161" s="4"/>
    </row>
    <row r="162" spans="4:4" x14ac:dyDescent="0.2">
      <c r="D162" s="4"/>
    </row>
    <row r="163" spans="4:4" x14ac:dyDescent="0.2">
      <c r="D163" s="4"/>
    </row>
    <row r="164" spans="4:4" x14ac:dyDescent="0.2">
      <c r="D164" s="4"/>
    </row>
    <row r="165" spans="4:4" x14ac:dyDescent="0.2">
      <c r="D165" s="4"/>
    </row>
    <row r="166" spans="4:4" x14ac:dyDescent="0.2">
      <c r="D166" s="4"/>
    </row>
    <row r="167" spans="4:4" x14ac:dyDescent="0.2">
      <c r="D167" s="4"/>
    </row>
    <row r="168" spans="4:4" x14ac:dyDescent="0.2">
      <c r="D168" s="4"/>
    </row>
    <row r="169" spans="4:4" x14ac:dyDescent="0.2">
      <c r="D169" s="4"/>
    </row>
    <row r="170" spans="4:4" x14ac:dyDescent="0.2">
      <c r="D170" s="4"/>
    </row>
    <row r="171" spans="4:4" x14ac:dyDescent="0.2">
      <c r="D171" s="4"/>
    </row>
    <row r="172" spans="4:4" x14ac:dyDescent="0.2">
      <c r="D172" s="4"/>
    </row>
    <row r="173" spans="4:4" x14ac:dyDescent="0.2">
      <c r="D173" s="4"/>
    </row>
    <row r="174" spans="4:4" x14ac:dyDescent="0.2">
      <c r="D174" s="4"/>
    </row>
    <row r="175" spans="4:4" x14ac:dyDescent="0.2">
      <c r="D175" s="4"/>
    </row>
    <row r="176" spans="4:4" x14ac:dyDescent="0.2">
      <c r="D176" s="4"/>
    </row>
    <row r="177" spans="4:4" x14ac:dyDescent="0.2">
      <c r="D177" s="4"/>
    </row>
    <row r="178" spans="4:4" x14ac:dyDescent="0.2">
      <c r="D178" s="4"/>
    </row>
    <row r="179" spans="4:4" x14ac:dyDescent="0.2">
      <c r="D179" s="4"/>
    </row>
    <row r="180" spans="4:4" x14ac:dyDescent="0.2">
      <c r="D180" s="4"/>
    </row>
    <row r="181" spans="4:4" x14ac:dyDescent="0.2">
      <c r="D181" s="4"/>
    </row>
    <row r="182" spans="4:4" x14ac:dyDescent="0.2">
      <c r="D182" s="4"/>
    </row>
    <row r="183" spans="4:4" x14ac:dyDescent="0.2">
      <c r="D183" s="4"/>
    </row>
    <row r="184" spans="4:4" x14ac:dyDescent="0.2">
      <c r="D184" s="4"/>
    </row>
    <row r="185" spans="4:4" x14ac:dyDescent="0.2">
      <c r="D185" s="4"/>
    </row>
    <row r="186" spans="4:4" x14ac:dyDescent="0.2">
      <c r="D186" s="4"/>
    </row>
    <row r="187" spans="4:4" x14ac:dyDescent="0.2">
      <c r="D187" s="4"/>
    </row>
    <row r="188" spans="4:4" x14ac:dyDescent="0.2">
      <c r="D188" s="4"/>
    </row>
    <row r="189" spans="4:4" x14ac:dyDescent="0.2">
      <c r="D189" s="4"/>
    </row>
    <row r="190" spans="4:4" x14ac:dyDescent="0.2">
      <c r="D190" s="4"/>
    </row>
    <row r="191" spans="4:4" x14ac:dyDescent="0.2">
      <c r="D191" s="4"/>
    </row>
    <row r="192" spans="4:4" x14ac:dyDescent="0.2">
      <c r="D192" s="4"/>
    </row>
    <row r="193" spans="4:4" x14ac:dyDescent="0.2">
      <c r="D193" s="4"/>
    </row>
    <row r="194" spans="4:4" x14ac:dyDescent="0.2">
      <c r="D194" s="4"/>
    </row>
    <row r="195" spans="4:4" x14ac:dyDescent="0.2">
      <c r="D195" s="4"/>
    </row>
    <row r="196" spans="4:4" x14ac:dyDescent="0.2">
      <c r="D196" s="4"/>
    </row>
    <row r="197" spans="4:4" x14ac:dyDescent="0.2">
      <c r="D197" s="4"/>
    </row>
    <row r="198" spans="4:4" x14ac:dyDescent="0.2">
      <c r="D198" s="4"/>
    </row>
    <row r="199" spans="4:4" x14ac:dyDescent="0.2">
      <c r="D199" s="4"/>
    </row>
    <row r="200" spans="4:4" x14ac:dyDescent="0.2">
      <c r="D200" s="4"/>
    </row>
    <row r="201" spans="4:4" x14ac:dyDescent="0.2">
      <c r="D201" s="4"/>
    </row>
    <row r="202" spans="4:4" x14ac:dyDescent="0.2">
      <c r="D202" s="4"/>
    </row>
    <row r="203" spans="4:4" x14ac:dyDescent="0.2">
      <c r="D203" s="4"/>
    </row>
    <row r="204" spans="4:4" x14ac:dyDescent="0.2">
      <c r="D204" s="4"/>
    </row>
    <row r="205" spans="4:4" x14ac:dyDescent="0.2">
      <c r="D205" s="4"/>
    </row>
    <row r="206" spans="4:4" x14ac:dyDescent="0.2">
      <c r="D206" s="4"/>
    </row>
    <row r="207" spans="4:4" x14ac:dyDescent="0.2">
      <c r="D207" s="4"/>
    </row>
    <row r="208" spans="4:4" x14ac:dyDescent="0.2">
      <c r="D208" s="4"/>
    </row>
    <row r="209" spans="4:4" x14ac:dyDescent="0.2">
      <c r="D209" s="4"/>
    </row>
    <row r="210" spans="4:4" x14ac:dyDescent="0.2">
      <c r="D210" s="4"/>
    </row>
    <row r="211" spans="4:4" x14ac:dyDescent="0.2">
      <c r="D211" s="4"/>
    </row>
    <row r="212" spans="4:4" x14ac:dyDescent="0.2">
      <c r="D212" s="4"/>
    </row>
    <row r="213" spans="4:4" x14ac:dyDescent="0.2">
      <c r="D213" s="4"/>
    </row>
    <row r="214" spans="4:4" x14ac:dyDescent="0.2">
      <c r="D214" s="4"/>
    </row>
    <row r="215" spans="4:4" x14ac:dyDescent="0.2">
      <c r="D215" s="4"/>
    </row>
    <row r="216" spans="4:4" x14ac:dyDescent="0.2">
      <c r="D216" s="4"/>
    </row>
    <row r="217" spans="4:4" x14ac:dyDescent="0.2">
      <c r="D217" s="4"/>
    </row>
    <row r="218" spans="4:4" x14ac:dyDescent="0.2">
      <c r="D218" s="4"/>
    </row>
    <row r="219" spans="4:4" x14ac:dyDescent="0.2">
      <c r="D219" s="4"/>
    </row>
    <row r="220" spans="4:4" x14ac:dyDescent="0.2">
      <c r="D220" s="4"/>
    </row>
    <row r="221" spans="4:4" x14ac:dyDescent="0.2">
      <c r="D221" s="4"/>
    </row>
    <row r="222" spans="4:4" x14ac:dyDescent="0.2">
      <c r="D222" s="4"/>
    </row>
    <row r="223" spans="4:4" x14ac:dyDescent="0.2">
      <c r="D223" s="4"/>
    </row>
    <row r="224" spans="4:4" x14ac:dyDescent="0.2">
      <c r="D224" s="4"/>
    </row>
    <row r="225" spans="4:4" x14ac:dyDescent="0.2">
      <c r="D225" s="4"/>
    </row>
    <row r="226" spans="4:4" x14ac:dyDescent="0.2">
      <c r="D226" s="4"/>
    </row>
    <row r="227" spans="4:4" x14ac:dyDescent="0.2">
      <c r="D227" s="4"/>
    </row>
    <row r="228" spans="4:4" x14ac:dyDescent="0.2">
      <c r="D228" s="4"/>
    </row>
    <row r="229" spans="4:4" x14ac:dyDescent="0.2">
      <c r="D229" s="4"/>
    </row>
    <row r="230" spans="4:4" x14ac:dyDescent="0.2">
      <c r="D230" s="4"/>
    </row>
    <row r="231" spans="4:4" x14ac:dyDescent="0.2">
      <c r="D231" s="4"/>
    </row>
    <row r="232" spans="4:4" x14ac:dyDescent="0.2">
      <c r="D232" s="4"/>
    </row>
    <row r="233" spans="4:4" x14ac:dyDescent="0.2">
      <c r="D233" s="4"/>
    </row>
    <row r="234" spans="4:4" x14ac:dyDescent="0.2">
      <c r="D234" s="4"/>
    </row>
    <row r="235" spans="4:4" x14ac:dyDescent="0.2">
      <c r="D235" s="4"/>
    </row>
    <row r="236" spans="4:4" x14ac:dyDescent="0.2">
      <c r="D236" s="4"/>
    </row>
    <row r="237" spans="4:4" x14ac:dyDescent="0.2">
      <c r="D237" s="4"/>
    </row>
    <row r="238" spans="4:4" x14ac:dyDescent="0.2">
      <c r="D238" s="4"/>
    </row>
    <row r="239" spans="4:4" x14ac:dyDescent="0.2">
      <c r="D239" s="4"/>
    </row>
    <row r="240" spans="4:4" x14ac:dyDescent="0.2">
      <c r="D240" s="4"/>
    </row>
    <row r="241" spans="4:4" x14ac:dyDescent="0.2">
      <c r="D241" s="4"/>
    </row>
    <row r="242" spans="4:4" x14ac:dyDescent="0.2">
      <c r="D242" s="4"/>
    </row>
    <row r="243" spans="4:4" x14ac:dyDescent="0.2">
      <c r="D243" s="4"/>
    </row>
    <row r="244" spans="4:4" x14ac:dyDescent="0.2">
      <c r="D244" s="4"/>
    </row>
    <row r="245" spans="4:4" x14ac:dyDescent="0.2">
      <c r="D245" s="4"/>
    </row>
    <row r="246" spans="4:4" x14ac:dyDescent="0.2">
      <c r="D246" s="4"/>
    </row>
    <row r="247" spans="4:4" x14ac:dyDescent="0.2">
      <c r="D247" s="4"/>
    </row>
    <row r="248" spans="4:4" x14ac:dyDescent="0.2">
      <c r="D248" s="4"/>
    </row>
    <row r="249" spans="4:4" x14ac:dyDescent="0.2">
      <c r="D249" s="4"/>
    </row>
    <row r="250" spans="4:4" x14ac:dyDescent="0.2">
      <c r="D250" s="4"/>
    </row>
    <row r="251" spans="4:4" x14ac:dyDescent="0.2">
      <c r="D251" s="4"/>
    </row>
    <row r="252" spans="4:4" x14ac:dyDescent="0.2">
      <c r="D252" s="4"/>
    </row>
    <row r="253" spans="4:4" x14ac:dyDescent="0.2">
      <c r="D253" s="4"/>
    </row>
    <row r="254" spans="4:4" x14ac:dyDescent="0.2">
      <c r="D254" s="4"/>
    </row>
    <row r="255" spans="4:4" x14ac:dyDescent="0.2">
      <c r="D255" s="4"/>
    </row>
    <row r="256" spans="4:4" x14ac:dyDescent="0.2">
      <c r="D256" s="4"/>
    </row>
    <row r="257" spans="4:4" x14ac:dyDescent="0.2">
      <c r="D257" s="4"/>
    </row>
    <row r="258" spans="4:4" x14ac:dyDescent="0.2">
      <c r="D258" s="4"/>
    </row>
    <row r="259" spans="4:4" x14ac:dyDescent="0.2">
      <c r="D259" s="4"/>
    </row>
    <row r="260" spans="4:4" x14ac:dyDescent="0.2">
      <c r="D260" s="4"/>
    </row>
    <row r="261" spans="4:4" x14ac:dyDescent="0.2">
      <c r="D261" s="4"/>
    </row>
    <row r="262" spans="4:4" x14ac:dyDescent="0.2">
      <c r="D262" s="4"/>
    </row>
    <row r="263" spans="4:4" x14ac:dyDescent="0.2">
      <c r="D263" s="4"/>
    </row>
    <row r="264" spans="4:4" x14ac:dyDescent="0.2">
      <c r="D264" s="4"/>
    </row>
    <row r="265" spans="4:4" x14ac:dyDescent="0.2">
      <c r="D265" s="4"/>
    </row>
    <row r="266" spans="4:4" x14ac:dyDescent="0.2">
      <c r="D266" s="4"/>
    </row>
    <row r="267" spans="4:4" x14ac:dyDescent="0.2">
      <c r="D267" s="4"/>
    </row>
    <row r="268" spans="4:4" x14ac:dyDescent="0.2">
      <c r="D268" s="4"/>
    </row>
    <row r="269" spans="4:4" x14ac:dyDescent="0.2">
      <c r="D269" s="4"/>
    </row>
    <row r="270" spans="4:4" x14ac:dyDescent="0.2">
      <c r="D270" s="4"/>
    </row>
    <row r="271" spans="4:4" x14ac:dyDescent="0.2">
      <c r="D271" s="4"/>
    </row>
    <row r="272" spans="4:4" x14ac:dyDescent="0.2">
      <c r="D272" s="4"/>
    </row>
    <row r="273" spans="4:4" x14ac:dyDescent="0.2">
      <c r="D273" s="4"/>
    </row>
    <row r="274" spans="4:4" x14ac:dyDescent="0.2">
      <c r="D274" s="4"/>
    </row>
    <row r="275" spans="4:4" x14ac:dyDescent="0.2">
      <c r="D275" s="4"/>
    </row>
    <row r="276" spans="4:4" x14ac:dyDescent="0.2">
      <c r="D276" s="4"/>
    </row>
    <row r="277" spans="4:4" x14ac:dyDescent="0.2">
      <c r="D277" s="4"/>
    </row>
    <row r="278" spans="4:4" x14ac:dyDescent="0.2">
      <c r="D278" s="4"/>
    </row>
    <row r="279" spans="4:4" x14ac:dyDescent="0.2">
      <c r="D279" s="4"/>
    </row>
    <row r="280" spans="4:4" x14ac:dyDescent="0.2">
      <c r="D280" s="4"/>
    </row>
    <row r="281" spans="4:4" x14ac:dyDescent="0.2">
      <c r="D281" s="4"/>
    </row>
    <row r="282" spans="4:4" x14ac:dyDescent="0.2">
      <c r="D282" s="4"/>
    </row>
    <row r="283" spans="4:4" x14ac:dyDescent="0.2">
      <c r="D283" s="4"/>
    </row>
    <row r="284" spans="4:4" x14ac:dyDescent="0.2">
      <c r="D284" s="4"/>
    </row>
    <row r="285" spans="4:4" x14ac:dyDescent="0.2">
      <c r="D285" s="4"/>
    </row>
    <row r="286" spans="4:4" x14ac:dyDescent="0.2">
      <c r="D286" s="4"/>
    </row>
    <row r="287" spans="4:4" x14ac:dyDescent="0.2">
      <c r="D287" s="4"/>
    </row>
    <row r="288" spans="4:4" x14ac:dyDescent="0.2">
      <c r="D288" s="4"/>
    </row>
    <row r="289" spans="4:4" x14ac:dyDescent="0.2">
      <c r="D289" s="4"/>
    </row>
    <row r="290" spans="4:4" x14ac:dyDescent="0.2">
      <c r="D290" s="4"/>
    </row>
    <row r="291" spans="4:4" x14ac:dyDescent="0.2">
      <c r="D291" s="4"/>
    </row>
    <row r="292" spans="4:4" x14ac:dyDescent="0.2">
      <c r="D292" s="4"/>
    </row>
    <row r="293" spans="4:4" x14ac:dyDescent="0.2">
      <c r="D293" s="4"/>
    </row>
    <row r="294" spans="4:4" x14ac:dyDescent="0.2">
      <c r="D294" s="4"/>
    </row>
    <row r="295" spans="4:4" x14ac:dyDescent="0.2">
      <c r="D295" s="4"/>
    </row>
    <row r="296" spans="4:4" x14ac:dyDescent="0.2">
      <c r="D296" s="4"/>
    </row>
    <row r="297" spans="4:4" x14ac:dyDescent="0.2">
      <c r="D297" s="4"/>
    </row>
    <row r="298" spans="4:4" x14ac:dyDescent="0.2">
      <c r="D298" s="4"/>
    </row>
    <row r="299" spans="4:4" x14ac:dyDescent="0.2">
      <c r="D299" s="4"/>
    </row>
    <row r="300" spans="4:4" x14ac:dyDescent="0.2">
      <c r="D300" s="4"/>
    </row>
    <row r="301" spans="4:4" x14ac:dyDescent="0.2">
      <c r="D301" s="4"/>
    </row>
    <row r="302" spans="4:4" x14ac:dyDescent="0.2">
      <c r="D302" s="4"/>
    </row>
    <row r="303" spans="4:4" x14ac:dyDescent="0.2">
      <c r="D303" s="4"/>
    </row>
    <row r="304" spans="4:4" x14ac:dyDescent="0.2">
      <c r="D304" s="4"/>
    </row>
    <row r="305" spans="4:4" x14ac:dyDescent="0.2">
      <c r="D305" s="4"/>
    </row>
    <row r="306" spans="4:4" x14ac:dyDescent="0.2">
      <c r="D306" s="4"/>
    </row>
    <row r="307" spans="4:4" x14ac:dyDescent="0.2">
      <c r="D307" s="4"/>
    </row>
    <row r="308" spans="4:4" x14ac:dyDescent="0.2">
      <c r="D308" s="4"/>
    </row>
    <row r="309" spans="4:4" x14ac:dyDescent="0.2">
      <c r="D309" s="4"/>
    </row>
    <row r="310" spans="4:4" x14ac:dyDescent="0.2">
      <c r="D310" s="4"/>
    </row>
    <row r="311" spans="4:4" x14ac:dyDescent="0.2">
      <c r="D311" s="4"/>
    </row>
    <row r="312" spans="4:4" x14ac:dyDescent="0.2">
      <c r="D312" s="4"/>
    </row>
    <row r="313" spans="4:4" x14ac:dyDescent="0.2">
      <c r="D313" s="4"/>
    </row>
    <row r="314" spans="4:4" x14ac:dyDescent="0.2">
      <c r="D314" s="4"/>
    </row>
    <row r="315" spans="4:4" x14ac:dyDescent="0.2">
      <c r="D315" s="4"/>
    </row>
    <row r="316" spans="4:4" x14ac:dyDescent="0.2">
      <c r="D316" s="4"/>
    </row>
    <row r="317" spans="4:4" x14ac:dyDescent="0.2">
      <c r="D317" s="4"/>
    </row>
    <row r="318" spans="4:4" x14ac:dyDescent="0.2">
      <c r="D318" s="4"/>
    </row>
    <row r="319" spans="4:4" x14ac:dyDescent="0.2">
      <c r="D319" s="4"/>
    </row>
    <row r="320" spans="4:4" x14ac:dyDescent="0.2">
      <c r="D320" s="4"/>
    </row>
    <row r="321" spans="4:4" x14ac:dyDescent="0.2">
      <c r="D321" s="4"/>
    </row>
    <row r="322" spans="4:4" x14ac:dyDescent="0.2">
      <c r="D322" s="4"/>
    </row>
    <row r="323" spans="4:4" x14ac:dyDescent="0.2">
      <c r="D323" s="4"/>
    </row>
    <row r="324" spans="4:4" x14ac:dyDescent="0.2">
      <c r="D324" s="4"/>
    </row>
    <row r="325" spans="4:4" x14ac:dyDescent="0.2">
      <c r="D325" s="4"/>
    </row>
    <row r="326" spans="4:4" x14ac:dyDescent="0.2">
      <c r="D326" s="4"/>
    </row>
    <row r="327" spans="4:4" x14ac:dyDescent="0.2">
      <c r="D327" s="4"/>
    </row>
    <row r="328" spans="4:4" x14ac:dyDescent="0.2">
      <c r="D328" s="4"/>
    </row>
    <row r="329" spans="4:4" x14ac:dyDescent="0.2">
      <c r="D329" s="4"/>
    </row>
    <row r="330" spans="4:4" x14ac:dyDescent="0.2">
      <c r="D330" s="4"/>
    </row>
    <row r="331" spans="4:4" x14ac:dyDescent="0.2">
      <c r="D331" s="4"/>
    </row>
    <row r="332" spans="4:4" x14ac:dyDescent="0.2">
      <c r="D332" s="4"/>
    </row>
    <row r="333" spans="4:4" x14ac:dyDescent="0.2">
      <c r="D333" s="4"/>
    </row>
    <row r="334" spans="4:4" x14ac:dyDescent="0.2">
      <c r="D334" s="4"/>
    </row>
    <row r="335" spans="4:4" x14ac:dyDescent="0.2">
      <c r="D335" s="4"/>
    </row>
    <row r="336" spans="4:4" x14ac:dyDescent="0.2">
      <c r="D336" s="4"/>
    </row>
    <row r="337" spans="4:4" x14ac:dyDescent="0.2">
      <c r="D337" s="4"/>
    </row>
    <row r="338" spans="4:4" x14ac:dyDescent="0.2">
      <c r="D338" s="4"/>
    </row>
    <row r="339" spans="4:4" x14ac:dyDescent="0.2">
      <c r="D339" s="4"/>
    </row>
    <row r="340" spans="4:4" x14ac:dyDescent="0.2">
      <c r="D340" s="4"/>
    </row>
    <row r="341" spans="4:4" x14ac:dyDescent="0.2">
      <c r="D341" s="4"/>
    </row>
    <row r="342" spans="4:4" x14ac:dyDescent="0.2">
      <c r="D342" s="4"/>
    </row>
    <row r="343" spans="4:4" x14ac:dyDescent="0.2">
      <c r="D343" s="4"/>
    </row>
    <row r="344" spans="4:4" x14ac:dyDescent="0.2">
      <c r="D344" s="4"/>
    </row>
    <row r="345" spans="4:4" x14ac:dyDescent="0.2">
      <c r="D345" s="4"/>
    </row>
    <row r="346" spans="4:4" x14ac:dyDescent="0.2">
      <c r="D346" s="4"/>
    </row>
    <row r="347" spans="4:4" x14ac:dyDescent="0.2">
      <c r="D347" s="4"/>
    </row>
    <row r="348" spans="4:4" x14ac:dyDescent="0.2">
      <c r="D348" s="4"/>
    </row>
    <row r="349" spans="4:4" x14ac:dyDescent="0.2">
      <c r="D349" s="4"/>
    </row>
    <row r="350" spans="4:4" x14ac:dyDescent="0.2">
      <c r="D350" s="4"/>
    </row>
    <row r="351" spans="4:4" x14ac:dyDescent="0.2">
      <c r="D351" s="4"/>
    </row>
    <row r="352" spans="4:4" x14ac:dyDescent="0.2">
      <c r="D352" s="4"/>
    </row>
    <row r="353" spans="4:4" x14ac:dyDescent="0.2">
      <c r="D353" s="4"/>
    </row>
    <row r="354" spans="4:4" x14ac:dyDescent="0.2">
      <c r="D354" s="4"/>
    </row>
    <row r="355" spans="4:4" x14ac:dyDescent="0.2">
      <c r="D355" s="4"/>
    </row>
    <row r="356" spans="4:4" x14ac:dyDescent="0.2">
      <c r="D356" s="4"/>
    </row>
    <row r="357" spans="4:4" x14ac:dyDescent="0.2">
      <c r="D357" s="4"/>
    </row>
    <row r="358" spans="4:4" x14ac:dyDescent="0.2">
      <c r="D358" s="4"/>
    </row>
    <row r="359" spans="4:4" x14ac:dyDescent="0.2">
      <c r="D359" s="4"/>
    </row>
    <row r="360" spans="4:4" x14ac:dyDescent="0.2">
      <c r="D360" s="4"/>
    </row>
    <row r="361" spans="4:4" x14ac:dyDescent="0.2">
      <c r="D361" s="4"/>
    </row>
    <row r="362" spans="4:4" x14ac:dyDescent="0.2">
      <c r="D362" s="4"/>
    </row>
    <row r="363" spans="4:4" x14ac:dyDescent="0.2">
      <c r="D363" s="4"/>
    </row>
    <row r="364" spans="4:4" x14ac:dyDescent="0.2">
      <c r="D364" s="4"/>
    </row>
    <row r="365" spans="4:4" x14ac:dyDescent="0.2">
      <c r="D365" s="4"/>
    </row>
    <row r="366" spans="4:4" x14ac:dyDescent="0.2">
      <c r="D366" s="4"/>
    </row>
    <row r="367" spans="4:4" x14ac:dyDescent="0.2">
      <c r="D367" s="4"/>
    </row>
    <row r="368" spans="4:4" x14ac:dyDescent="0.2">
      <c r="D368" s="4"/>
    </row>
    <row r="369" spans="4:4" x14ac:dyDescent="0.2">
      <c r="D369" s="4"/>
    </row>
    <row r="370" spans="4:4" x14ac:dyDescent="0.2">
      <c r="D370" s="4"/>
    </row>
    <row r="371" spans="4:4" x14ac:dyDescent="0.2">
      <c r="D371" s="4"/>
    </row>
    <row r="372" spans="4:4" x14ac:dyDescent="0.2">
      <c r="D372" s="4"/>
    </row>
    <row r="373" spans="4:4" x14ac:dyDescent="0.2">
      <c r="D373" s="4"/>
    </row>
    <row r="374" spans="4:4" x14ac:dyDescent="0.2">
      <c r="D374" s="4"/>
    </row>
    <row r="375" spans="4:4" x14ac:dyDescent="0.2">
      <c r="D375" s="4"/>
    </row>
    <row r="376" spans="4:4" x14ac:dyDescent="0.2">
      <c r="D376" s="4"/>
    </row>
    <row r="377" spans="4:4" x14ac:dyDescent="0.2">
      <c r="D377" s="4"/>
    </row>
    <row r="378" spans="4:4" x14ac:dyDescent="0.2">
      <c r="D378" s="4"/>
    </row>
    <row r="379" spans="4:4" x14ac:dyDescent="0.2">
      <c r="D379" s="4"/>
    </row>
    <row r="380" spans="4:4" x14ac:dyDescent="0.2">
      <c r="D380" s="4"/>
    </row>
    <row r="381" spans="4:4" x14ac:dyDescent="0.2">
      <c r="D381" s="4"/>
    </row>
    <row r="382" spans="4:4" x14ac:dyDescent="0.2">
      <c r="D382" s="4"/>
    </row>
    <row r="383" spans="4:4" x14ac:dyDescent="0.2">
      <c r="D383" s="4"/>
    </row>
    <row r="384" spans="4:4" x14ac:dyDescent="0.2">
      <c r="D384" s="4"/>
    </row>
    <row r="385" spans="4:4" x14ac:dyDescent="0.2">
      <c r="D385" s="4"/>
    </row>
    <row r="386" spans="4:4" x14ac:dyDescent="0.2">
      <c r="D386" s="4"/>
    </row>
    <row r="387" spans="4:4" x14ac:dyDescent="0.2">
      <c r="D387" s="4"/>
    </row>
    <row r="388" spans="4:4" x14ac:dyDescent="0.2">
      <c r="D388" s="4"/>
    </row>
    <row r="389" spans="4:4" x14ac:dyDescent="0.2">
      <c r="D389" s="4"/>
    </row>
    <row r="390" spans="4:4" x14ac:dyDescent="0.2">
      <c r="D390" s="4"/>
    </row>
    <row r="391" spans="4:4" x14ac:dyDescent="0.2">
      <c r="D391" s="4"/>
    </row>
    <row r="392" spans="4:4" x14ac:dyDescent="0.2">
      <c r="D392" s="4"/>
    </row>
    <row r="393" spans="4:4" x14ac:dyDescent="0.2">
      <c r="D393" s="4"/>
    </row>
    <row r="394" spans="4:4" x14ac:dyDescent="0.2">
      <c r="D394" s="4"/>
    </row>
    <row r="395" spans="4:4" x14ac:dyDescent="0.2">
      <c r="D395" s="4"/>
    </row>
    <row r="396" spans="4:4" x14ac:dyDescent="0.2">
      <c r="D396" s="4"/>
    </row>
    <row r="397" spans="4:4" x14ac:dyDescent="0.2">
      <c r="D397" s="4"/>
    </row>
    <row r="398" spans="4:4" x14ac:dyDescent="0.2">
      <c r="D398" s="4"/>
    </row>
    <row r="399" spans="4:4" x14ac:dyDescent="0.2">
      <c r="D399" s="4"/>
    </row>
    <row r="400" spans="4:4" x14ac:dyDescent="0.2">
      <c r="D400" s="4"/>
    </row>
    <row r="401" spans="4:4" x14ac:dyDescent="0.2">
      <c r="D401" s="4"/>
    </row>
    <row r="402" spans="4:4" x14ac:dyDescent="0.2">
      <c r="D402" s="4"/>
    </row>
    <row r="403" spans="4:4" x14ac:dyDescent="0.2">
      <c r="D403" s="4"/>
    </row>
    <row r="404" spans="4:4" x14ac:dyDescent="0.2">
      <c r="D404" s="4"/>
    </row>
    <row r="405" spans="4:4" x14ac:dyDescent="0.2">
      <c r="D405" s="4"/>
    </row>
    <row r="406" spans="4:4" x14ac:dyDescent="0.2">
      <c r="D406" s="4"/>
    </row>
    <row r="407" spans="4:4" x14ac:dyDescent="0.2">
      <c r="D407" s="4"/>
    </row>
    <row r="408" spans="4:4" x14ac:dyDescent="0.2">
      <c r="D408" s="4"/>
    </row>
    <row r="409" spans="4:4" x14ac:dyDescent="0.2">
      <c r="D409" s="4"/>
    </row>
    <row r="410" spans="4:4" x14ac:dyDescent="0.2">
      <c r="D410" s="4"/>
    </row>
    <row r="411" spans="4:4" x14ac:dyDescent="0.2">
      <c r="D411" s="4"/>
    </row>
    <row r="412" spans="4:4" x14ac:dyDescent="0.2">
      <c r="D412" s="4"/>
    </row>
    <row r="413" spans="4:4" x14ac:dyDescent="0.2">
      <c r="D413" s="4"/>
    </row>
    <row r="414" spans="4:4" x14ac:dyDescent="0.2">
      <c r="D414" s="4"/>
    </row>
    <row r="415" spans="4:4" x14ac:dyDescent="0.2">
      <c r="D415" s="4"/>
    </row>
    <row r="416" spans="4:4" x14ac:dyDescent="0.2">
      <c r="D416" s="4"/>
    </row>
    <row r="417" spans="4:4" x14ac:dyDescent="0.2">
      <c r="D417" s="4"/>
    </row>
    <row r="418" spans="4:4" x14ac:dyDescent="0.2">
      <c r="D418" s="4"/>
    </row>
    <row r="419" spans="4:4" x14ac:dyDescent="0.2">
      <c r="D419" s="4"/>
    </row>
    <row r="420" spans="4:4" x14ac:dyDescent="0.2">
      <c r="D420" s="4"/>
    </row>
    <row r="421" spans="4:4" x14ac:dyDescent="0.2">
      <c r="D421" s="4"/>
    </row>
    <row r="422" spans="4:4" x14ac:dyDescent="0.2">
      <c r="D422" s="4"/>
    </row>
    <row r="423" spans="4:4" x14ac:dyDescent="0.2">
      <c r="D423" s="4"/>
    </row>
    <row r="424" spans="4:4" x14ac:dyDescent="0.2">
      <c r="D424" s="4"/>
    </row>
    <row r="425" spans="4:4" x14ac:dyDescent="0.2">
      <c r="D425" s="4"/>
    </row>
    <row r="426" spans="4:4" x14ac:dyDescent="0.2">
      <c r="D426" s="4"/>
    </row>
    <row r="427" spans="4:4" x14ac:dyDescent="0.2">
      <c r="D427" s="4"/>
    </row>
    <row r="428" spans="4:4" x14ac:dyDescent="0.2">
      <c r="D428" s="4"/>
    </row>
    <row r="429" spans="4:4" x14ac:dyDescent="0.2">
      <c r="D429" s="4"/>
    </row>
    <row r="430" spans="4:4" x14ac:dyDescent="0.2">
      <c r="D430" s="4"/>
    </row>
    <row r="431" spans="4:4" x14ac:dyDescent="0.2">
      <c r="D431" s="4"/>
    </row>
    <row r="432" spans="4:4" x14ac:dyDescent="0.2">
      <c r="D432" s="4"/>
    </row>
    <row r="433" spans="4:4" x14ac:dyDescent="0.2">
      <c r="D433" s="4"/>
    </row>
    <row r="434" spans="4:4" x14ac:dyDescent="0.2">
      <c r="D434" s="4"/>
    </row>
    <row r="435" spans="4:4" x14ac:dyDescent="0.2">
      <c r="D435" s="4"/>
    </row>
    <row r="436" spans="4:4" x14ac:dyDescent="0.2">
      <c r="D436" s="4"/>
    </row>
    <row r="437" spans="4:4" x14ac:dyDescent="0.2">
      <c r="D437" s="4"/>
    </row>
    <row r="438" spans="4:4" x14ac:dyDescent="0.2">
      <c r="D438" s="4"/>
    </row>
    <row r="439" spans="4:4" x14ac:dyDescent="0.2">
      <c r="D439" s="4"/>
    </row>
    <row r="440" spans="4:4" x14ac:dyDescent="0.2">
      <c r="D440" s="4"/>
    </row>
    <row r="441" spans="4:4" x14ac:dyDescent="0.2">
      <c r="D441" s="4"/>
    </row>
    <row r="442" spans="4:4" x14ac:dyDescent="0.2">
      <c r="D442" s="4"/>
    </row>
    <row r="443" spans="4:4" x14ac:dyDescent="0.2">
      <c r="D443" s="4"/>
    </row>
    <row r="444" spans="4:4" x14ac:dyDescent="0.2">
      <c r="D444" s="4"/>
    </row>
    <row r="445" spans="4:4" x14ac:dyDescent="0.2">
      <c r="D445" s="4"/>
    </row>
    <row r="446" spans="4:4" x14ac:dyDescent="0.2">
      <c r="D446" s="4"/>
    </row>
    <row r="447" spans="4:4" x14ac:dyDescent="0.2">
      <c r="D447" s="4"/>
    </row>
    <row r="448" spans="4:4" x14ac:dyDescent="0.2">
      <c r="D448" s="4"/>
    </row>
    <row r="449" spans="4:4" x14ac:dyDescent="0.2">
      <c r="D449" s="4"/>
    </row>
    <row r="450" spans="4:4" x14ac:dyDescent="0.2">
      <c r="D450" s="4"/>
    </row>
    <row r="451" spans="4:4" x14ac:dyDescent="0.2">
      <c r="D451" s="4"/>
    </row>
    <row r="452" spans="4:4" x14ac:dyDescent="0.2">
      <c r="D452" s="4"/>
    </row>
    <row r="453" spans="4:4" x14ac:dyDescent="0.2">
      <c r="D453" s="4"/>
    </row>
    <row r="454" spans="4:4" x14ac:dyDescent="0.2">
      <c r="D454" s="4"/>
    </row>
    <row r="455" spans="4:4" x14ac:dyDescent="0.2">
      <c r="D455" s="4"/>
    </row>
    <row r="456" spans="4:4" x14ac:dyDescent="0.2">
      <c r="D456" s="4"/>
    </row>
    <row r="457" spans="4:4" x14ac:dyDescent="0.2">
      <c r="D457" s="4"/>
    </row>
    <row r="458" spans="4:4" x14ac:dyDescent="0.2">
      <c r="D458" s="4"/>
    </row>
    <row r="459" spans="4:4" x14ac:dyDescent="0.2">
      <c r="D459" s="4"/>
    </row>
    <row r="460" spans="4:4" x14ac:dyDescent="0.2">
      <c r="D460" s="4"/>
    </row>
    <row r="461" spans="4:4" x14ac:dyDescent="0.2">
      <c r="D461" s="4"/>
    </row>
    <row r="462" spans="4:4" x14ac:dyDescent="0.2">
      <c r="D462" s="4"/>
    </row>
    <row r="463" spans="4:4" x14ac:dyDescent="0.2">
      <c r="D463" s="4"/>
    </row>
    <row r="464" spans="4:4" x14ac:dyDescent="0.2">
      <c r="D464" s="4"/>
    </row>
    <row r="465" spans="4:4" x14ac:dyDescent="0.2">
      <c r="D465" s="4"/>
    </row>
    <row r="466" spans="4:4" x14ac:dyDescent="0.2">
      <c r="D466" s="4"/>
    </row>
    <row r="467" spans="4:4" x14ac:dyDescent="0.2">
      <c r="D467" s="4"/>
    </row>
    <row r="468" spans="4:4" x14ac:dyDescent="0.2">
      <c r="D468" s="4"/>
    </row>
    <row r="469" spans="4:4" x14ac:dyDescent="0.2">
      <c r="D469" s="4"/>
    </row>
    <row r="470" spans="4:4" x14ac:dyDescent="0.2">
      <c r="D470" s="4"/>
    </row>
    <row r="471" spans="4:4" x14ac:dyDescent="0.2">
      <c r="D471" s="4"/>
    </row>
    <row r="472" spans="4:4" x14ac:dyDescent="0.2">
      <c r="D472" s="4"/>
    </row>
    <row r="473" spans="4:4" x14ac:dyDescent="0.2">
      <c r="D473" s="4"/>
    </row>
    <row r="474" spans="4:4" x14ac:dyDescent="0.2">
      <c r="D474" s="4"/>
    </row>
    <row r="475" spans="4:4" x14ac:dyDescent="0.2">
      <c r="D475" s="4"/>
    </row>
    <row r="476" spans="4:4" x14ac:dyDescent="0.2">
      <c r="D476" s="4"/>
    </row>
    <row r="477" spans="4:4" x14ac:dyDescent="0.2">
      <c r="D477" s="4"/>
    </row>
    <row r="478" spans="4:4" x14ac:dyDescent="0.2">
      <c r="D478" s="4"/>
    </row>
    <row r="479" spans="4:4" x14ac:dyDescent="0.2">
      <c r="D479" s="4"/>
    </row>
    <row r="480" spans="4:4" x14ac:dyDescent="0.2">
      <c r="D480" s="4"/>
    </row>
    <row r="481" spans="4:4" x14ac:dyDescent="0.2">
      <c r="D481" s="4"/>
    </row>
    <row r="482" spans="4:4" x14ac:dyDescent="0.2">
      <c r="D482" s="4"/>
    </row>
    <row r="483" spans="4:4" x14ac:dyDescent="0.2">
      <c r="D483" s="4"/>
    </row>
    <row r="484" spans="4:4" x14ac:dyDescent="0.2">
      <c r="D484" s="4"/>
    </row>
    <row r="485" spans="4:4" x14ac:dyDescent="0.2">
      <c r="D485" s="4"/>
    </row>
    <row r="486" spans="4:4" x14ac:dyDescent="0.2">
      <c r="D486" s="4"/>
    </row>
    <row r="487" spans="4:4" x14ac:dyDescent="0.2">
      <c r="D487" s="4"/>
    </row>
    <row r="488" spans="4:4" x14ac:dyDescent="0.2">
      <c r="D488" s="4"/>
    </row>
    <row r="489" spans="4:4" x14ac:dyDescent="0.2">
      <c r="D489" s="4"/>
    </row>
    <row r="490" spans="4:4" x14ac:dyDescent="0.2">
      <c r="D490" s="4"/>
    </row>
    <row r="491" spans="4:4" x14ac:dyDescent="0.2">
      <c r="D491" s="4"/>
    </row>
    <row r="492" spans="4:4" x14ac:dyDescent="0.2">
      <c r="D492" s="4"/>
    </row>
    <row r="493" spans="4:4" x14ac:dyDescent="0.2">
      <c r="D493" s="4"/>
    </row>
    <row r="494" spans="4:4" x14ac:dyDescent="0.2">
      <c r="D494" s="4"/>
    </row>
    <row r="495" spans="4:4" x14ac:dyDescent="0.2">
      <c r="D495" s="4"/>
    </row>
    <row r="496" spans="4:4" x14ac:dyDescent="0.2">
      <c r="D496" s="4"/>
    </row>
    <row r="497" spans="4:4" x14ac:dyDescent="0.2">
      <c r="D497" s="4"/>
    </row>
    <row r="498" spans="4:4" x14ac:dyDescent="0.2">
      <c r="D498" s="4"/>
    </row>
    <row r="499" spans="4:4" x14ac:dyDescent="0.2">
      <c r="D499" s="4"/>
    </row>
    <row r="500" spans="4:4" x14ac:dyDescent="0.2">
      <c r="D500" s="4"/>
    </row>
    <row r="501" spans="4:4" x14ac:dyDescent="0.2">
      <c r="D501" s="4"/>
    </row>
    <row r="502" spans="4:4" x14ac:dyDescent="0.2">
      <c r="D502" s="4"/>
    </row>
    <row r="503" spans="4:4" x14ac:dyDescent="0.2">
      <c r="D503" s="4"/>
    </row>
    <row r="504" spans="4:4" x14ac:dyDescent="0.2">
      <c r="D504" s="4"/>
    </row>
    <row r="505" spans="4:4" x14ac:dyDescent="0.2">
      <c r="D505" s="4"/>
    </row>
    <row r="506" spans="4:4" x14ac:dyDescent="0.2">
      <c r="D506" s="4"/>
    </row>
    <row r="507" spans="4:4" x14ac:dyDescent="0.2">
      <c r="D507" s="4"/>
    </row>
    <row r="508" spans="4:4" x14ac:dyDescent="0.2">
      <c r="D508" s="4"/>
    </row>
    <row r="509" spans="4:4" x14ac:dyDescent="0.2">
      <c r="D509" s="4"/>
    </row>
    <row r="510" spans="4:4" x14ac:dyDescent="0.2">
      <c r="D510" s="4"/>
    </row>
    <row r="511" spans="4:4" x14ac:dyDescent="0.2">
      <c r="D511" s="4"/>
    </row>
    <row r="512" spans="4:4" x14ac:dyDescent="0.2">
      <c r="D512" s="4"/>
    </row>
    <row r="513" spans="4:4" x14ac:dyDescent="0.2">
      <c r="D513" s="4"/>
    </row>
    <row r="514" spans="4:4" x14ac:dyDescent="0.2">
      <c r="D514" s="4"/>
    </row>
    <row r="515" spans="4:4" x14ac:dyDescent="0.2">
      <c r="D515" s="4"/>
    </row>
    <row r="516" spans="4:4" x14ac:dyDescent="0.2">
      <c r="D516" s="4"/>
    </row>
    <row r="517" spans="4:4" x14ac:dyDescent="0.2">
      <c r="D517" s="4"/>
    </row>
    <row r="518" spans="4:4" x14ac:dyDescent="0.2">
      <c r="D518" s="4"/>
    </row>
    <row r="519" spans="4:4" x14ac:dyDescent="0.2">
      <c r="D519" s="4"/>
    </row>
    <row r="520" spans="4:4" x14ac:dyDescent="0.2">
      <c r="D520" s="4"/>
    </row>
    <row r="521" spans="4:4" x14ac:dyDescent="0.2">
      <c r="D521" s="4"/>
    </row>
    <row r="522" spans="4:4" x14ac:dyDescent="0.2">
      <c r="D522" s="4"/>
    </row>
    <row r="523" spans="4:4" x14ac:dyDescent="0.2">
      <c r="D523" s="4"/>
    </row>
    <row r="524" spans="4:4" x14ac:dyDescent="0.2">
      <c r="D524" s="4"/>
    </row>
    <row r="525" spans="4:4" x14ac:dyDescent="0.2">
      <c r="D525" s="4"/>
    </row>
    <row r="526" spans="4:4" x14ac:dyDescent="0.2">
      <c r="D526" s="4"/>
    </row>
    <row r="527" spans="4:4" x14ac:dyDescent="0.2">
      <c r="D527" s="4"/>
    </row>
    <row r="528" spans="4:4" x14ac:dyDescent="0.2">
      <c r="D528" s="4"/>
    </row>
    <row r="529" spans="4:4" x14ac:dyDescent="0.2">
      <c r="D529" s="4"/>
    </row>
    <row r="530" spans="4:4" x14ac:dyDescent="0.2">
      <c r="D530" s="4"/>
    </row>
    <row r="531" spans="4:4" x14ac:dyDescent="0.2">
      <c r="D531" s="4"/>
    </row>
    <row r="532" spans="4:4" x14ac:dyDescent="0.2">
      <c r="D532" s="4"/>
    </row>
    <row r="533" spans="4:4" x14ac:dyDescent="0.2">
      <c r="D533" s="4"/>
    </row>
    <row r="534" spans="4:4" x14ac:dyDescent="0.2">
      <c r="D534" s="4"/>
    </row>
    <row r="535" spans="4:4" x14ac:dyDescent="0.2">
      <c r="D535" s="4"/>
    </row>
    <row r="536" spans="4:4" x14ac:dyDescent="0.2">
      <c r="D536" s="4"/>
    </row>
    <row r="537" spans="4:4" x14ac:dyDescent="0.2">
      <c r="D537" s="4"/>
    </row>
    <row r="538" spans="4:4" x14ac:dyDescent="0.2">
      <c r="D538" s="4"/>
    </row>
    <row r="539" spans="4:4" x14ac:dyDescent="0.2">
      <c r="D539" s="4"/>
    </row>
    <row r="540" spans="4:4" x14ac:dyDescent="0.2">
      <c r="D540" s="4"/>
    </row>
    <row r="541" spans="4:4" x14ac:dyDescent="0.2">
      <c r="D541" s="4"/>
    </row>
    <row r="542" spans="4:4" x14ac:dyDescent="0.2">
      <c r="D542" s="4"/>
    </row>
    <row r="543" spans="4:4" x14ac:dyDescent="0.2">
      <c r="D543" s="4"/>
    </row>
    <row r="544" spans="4:4" x14ac:dyDescent="0.2">
      <c r="D544" s="4"/>
    </row>
    <row r="545" spans="4:4" x14ac:dyDescent="0.2">
      <c r="D545" s="4"/>
    </row>
    <row r="546" spans="4:4" x14ac:dyDescent="0.2">
      <c r="D546" s="4"/>
    </row>
    <row r="547" spans="4:4" x14ac:dyDescent="0.2">
      <c r="D547" s="4"/>
    </row>
    <row r="548" spans="4:4" x14ac:dyDescent="0.2">
      <c r="D548" s="4"/>
    </row>
    <row r="549" spans="4:4" x14ac:dyDescent="0.2">
      <c r="D549" s="4"/>
    </row>
    <row r="550" spans="4:4" x14ac:dyDescent="0.2">
      <c r="D550" s="4"/>
    </row>
    <row r="551" spans="4:4" x14ac:dyDescent="0.2">
      <c r="D551" s="4"/>
    </row>
    <row r="552" spans="4:4" x14ac:dyDescent="0.2">
      <c r="D552" s="4"/>
    </row>
    <row r="553" spans="4:4" x14ac:dyDescent="0.2">
      <c r="D553" s="4"/>
    </row>
    <row r="554" spans="4:4" x14ac:dyDescent="0.2">
      <c r="D554" s="4"/>
    </row>
    <row r="555" spans="4:4" x14ac:dyDescent="0.2">
      <c r="D555" s="4"/>
    </row>
    <row r="556" spans="4:4" x14ac:dyDescent="0.2">
      <c r="D556" s="4"/>
    </row>
    <row r="557" spans="4:4" x14ac:dyDescent="0.2">
      <c r="D557" s="4"/>
    </row>
    <row r="558" spans="4:4" x14ac:dyDescent="0.2">
      <c r="D558" s="4"/>
    </row>
    <row r="559" spans="4:4" x14ac:dyDescent="0.2">
      <c r="D559" s="4"/>
    </row>
    <row r="560" spans="4:4" x14ac:dyDescent="0.2">
      <c r="D560" s="4"/>
    </row>
    <row r="561" spans="4:4" x14ac:dyDescent="0.2">
      <c r="D561" s="4"/>
    </row>
    <row r="562" spans="4:4" x14ac:dyDescent="0.2">
      <c r="D562" s="4"/>
    </row>
    <row r="563" spans="4:4" x14ac:dyDescent="0.2">
      <c r="D563" s="4"/>
    </row>
    <row r="564" spans="4:4" x14ac:dyDescent="0.2">
      <c r="D564" s="4"/>
    </row>
    <row r="565" spans="4:4" x14ac:dyDescent="0.2">
      <c r="D565" s="4"/>
    </row>
    <row r="566" spans="4:4" x14ac:dyDescent="0.2">
      <c r="D566" s="4"/>
    </row>
    <row r="567" spans="4:4" x14ac:dyDescent="0.2">
      <c r="D567" s="4"/>
    </row>
    <row r="568" spans="4:4" x14ac:dyDescent="0.2">
      <c r="D568" s="4"/>
    </row>
    <row r="569" spans="4:4" x14ac:dyDescent="0.2">
      <c r="D569" s="4"/>
    </row>
    <row r="570" spans="4:4" x14ac:dyDescent="0.2">
      <c r="D570" s="4"/>
    </row>
    <row r="571" spans="4:4" x14ac:dyDescent="0.2">
      <c r="D571" s="4"/>
    </row>
    <row r="572" spans="4:4" x14ac:dyDescent="0.2">
      <c r="D572" s="4"/>
    </row>
    <row r="573" spans="4:4" x14ac:dyDescent="0.2">
      <c r="D573" s="4"/>
    </row>
    <row r="574" spans="4:4" x14ac:dyDescent="0.2">
      <c r="D574" s="4"/>
    </row>
    <row r="575" spans="4:4" x14ac:dyDescent="0.2">
      <c r="D575" s="4"/>
    </row>
    <row r="576" spans="4:4" x14ac:dyDescent="0.2">
      <c r="D576" s="4"/>
    </row>
    <row r="577" spans="4:4" x14ac:dyDescent="0.2">
      <c r="D577" s="4"/>
    </row>
    <row r="578" spans="4:4" x14ac:dyDescent="0.2">
      <c r="D578" s="4"/>
    </row>
    <row r="579" spans="4:4" x14ac:dyDescent="0.2">
      <c r="D579" s="4"/>
    </row>
    <row r="580" spans="4:4" x14ac:dyDescent="0.2">
      <c r="D580" s="4"/>
    </row>
    <row r="581" spans="4:4" x14ac:dyDescent="0.2">
      <c r="D581" s="4"/>
    </row>
    <row r="582" spans="4:4" x14ac:dyDescent="0.2">
      <c r="D582" s="4"/>
    </row>
    <row r="583" spans="4:4" x14ac:dyDescent="0.2">
      <c r="D583" s="4"/>
    </row>
    <row r="584" spans="4:4" x14ac:dyDescent="0.2">
      <c r="D584" s="4"/>
    </row>
    <row r="585" spans="4:4" x14ac:dyDescent="0.2">
      <c r="D585" s="4"/>
    </row>
    <row r="586" spans="4:4" x14ac:dyDescent="0.2">
      <c r="D586" s="4"/>
    </row>
    <row r="587" spans="4:4" x14ac:dyDescent="0.2">
      <c r="D587" s="4"/>
    </row>
    <row r="588" spans="4:4" x14ac:dyDescent="0.2">
      <c r="D588" s="4"/>
    </row>
    <row r="589" spans="4:4" x14ac:dyDescent="0.2">
      <c r="D589" s="4"/>
    </row>
    <row r="590" spans="4:4" x14ac:dyDescent="0.2">
      <c r="D590" s="4"/>
    </row>
    <row r="591" spans="4:4" x14ac:dyDescent="0.2">
      <c r="D591" s="4"/>
    </row>
    <row r="592" spans="4:4" x14ac:dyDescent="0.2">
      <c r="D592" s="4"/>
    </row>
    <row r="593" spans="4:4" x14ac:dyDescent="0.2">
      <c r="D593" s="4"/>
    </row>
    <row r="594" spans="4:4" x14ac:dyDescent="0.2">
      <c r="D594" s="4"/>
    </row>
    <row r="595" spans="4:4" x14ac:dyDescent="0.2">
      <c r="D595" s="4"/>
    </row>
    <row r="596" spans="4:4" x14ac:dyDescent="0.2">
      <c r="D596" s="4"/>
    </row>
    <row r="597" spans="4:4" x14ac:dyDescent="0.2">
      <c r="D597" s="4"/>
    </row>
    <row r="598" spans="4:4" x14ac:dyDescent="0.2">
      <c r="D598" s="4"/>
    </row>
    <row r="599" spans="4:4" x14ac:dyDescent="0.2">
      <c r="D599" s="4"/>
    </row>
    <row r="600" spans="4:4" x14ac:dyDescent="0.2">
      <c r="D600" s="4"/>
    </row>
    <row r="601" spans="4:4" x14ac:dyDescent="0.2">
      <c r="D601" s="4"/>
    </row>
    <row r="602" spans="4:4" x14ac:dyDescent="0.2">
      <c r="D602" s="4"/>
    </row>
    <row r="603" spans="4:4" x14ac:dyDescent="0.2">
      <c r="D603" s="4"/>
    </row>
    <row r="604" spans="4:4" x14ac:dyDescent="0.2">
      <c r="D604" s="4"/>
    </row>
    <row r="605" spans="4:4" x14ac:dyDescent="0.2">
      <c r="D605" s="4"/>
    </row>
    <row r="606" spans="4:4" x14ac:dyDescent="0.2">
      <c r="D606" s="4"/>
    </row>
    <row r="607" spans="4:4" x14ac:dyDescent="0.2">
      <c r="D607" s="4"/>
    </row>
    <row r="608" spans="4:4" x14ac:dyDescent="0.2">
      <c r="D608" s="4"/>
    </row>
    <row r="609" spans="4:4" x14ac:dyDescent="0.2">
      <c r="D609" s="4"/>
    </row>
    <row r="610" spans="4:4" x14ac:dyDescent="0.2">
      <c r="D610" s="4"/>
    </row>
    <row r="611" spans="4:4" x14ac:dyDescent="0.2">
      <c r="D611" s="4"/>
    </row>
    <row r="612" spans="4:4" x14ac:dyDescent="0.2">
      <c r="D612" s="4"/>
    </row>
    <row r="613" spans="4:4" x14ac:dyDescent="0.2">
      <c r="D613" s="4"/>
    </row>
    <row r="614" spans="4:4" x14ac:dyDescent="0.2">
      <c r="D614" s="4"/>
    </row>
    <row r="615" spans="4:4" x14ac:dyDescent="0.2">
      <c r="D615" s="4"/>
    </row>
  </sheetData>
  <phoneticPr fontId="3" type="noConversion"/>
  <pageMargins left="0.7" right="0.7" top="0.75" bottom="0.75" header="0.3" footer="0.3"/>
  <pageSetup orientation="portrait"/>
  <headerFooter>
    <oddFooter>&amp;C_x000D_&amp;1#&amp;"Calibri"&amp;6&amp;K000000 Clasificación: Uso Interno. Documento Claro Colombia</oddFooter>
  </headerFooter>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0675-F4CA-42F9-A31B-2E34A2A5E5E1}">
  <dimension ref="B1:L21"/>
  <sheetViews>
    <sheetView showGridLines="0" zoomScale="89" zoomScaleNormal="89" workbookViewId="0">
      <pane xSplit="1" ySplit="1" topLeftCell="B11" activePane="bottomRight" state="frozen"/>
      <selection pane="topRight" activeCell="D1" sqref="D1"/>
      <selection pane="bottomLeft" activeCell="A5" sqref="A5"/>
      <selection pane="bottomRight" activeCell="I11" sqref="I11"/>
    </sheetView>
  </sheetViews>
  <sheetFormatPr baseColWidth="10" defaultColWidth="9.140625" defaultRowHeight="12.75" x14ac:dyDescent="0.2"/>
  <cols>
    <col min="1" max="1" width="3.5703125" customWidth="1"/>
    <col min="2" max="2" width="35.42578125" style="4" customWidth="1"/>
    <col min="3" max="3" width="30.85546875" style="4" customWidth="1"/>
    <col min="4" max="4" width="15.7109375" style="1" bestFit="1" customWidth="1"/>
    <col min="5" max="5" width="8.28515625" style="1" customWidth="1"/>
    <col min="6" max="6" width="4.7109375" style="6" customWidth="1"/>
    <col min="7" max="7" width="6.7109375" style="6" customWidth="1"/>
    <col min="8" max="8" width="7.5703125" style="6" customWidth="1"/>
    <col min="9" max="9" width="8.28515625" style="1" customWidth="1"/>
    <col min="10" max="10" width="4.7109375" style="6" customWidth="1"/>
    <col min="11" max="11" width="6.7109375" style="6" customWidth="1"/>
    <col min="12" max="12" width="7.5703125" style="6" customWidth="1"/>
    <col min="13" max="20" width="9.140625" bestFit="1" customWidth="1"/>
  </cols>
  <sheetData>
    <row r="1" spans="2:12" ht="43.5" thickBot="1" x14ac:dyDescent="0.25">
      <c r="B1" s="18" t="s">
        <v>0</v>
      </c>
      <c r="C1" s="18" t="s">
        <v>1</v>
      </c>
      <c r="D1" s="10" t="s">
        <v>2</v>
      </c>
      <c r="E1" s="7" t="s">
        <v>3</v>
      </c>
      <c r="F1" s="7" t="s">
        <v>4</v>
      </c>
      <c r="G1" s="7" t="s">
        <v>5</v>
      </c>
      <c r="H1" s="7" t="s">
        <v>6</v>
      </c>
      <c r="I1" s="7" t="s">
        <v>7</v>
      </c>
      <c r="J1" s="7" t="s">
        <v>8</v>
      </c>
      <c r="K1" s="7" t="s">
        <v>9</v>
      </c>
      <c r="L1" s="7" t="s">
        <v>10</v>
      </c>
    </row>
    <row r="2" spans="2:12" ht="39" thickTop="1" x14ac:dyDescent="0.2">
      <c r="B2" s="19" t="s">
        <v>53</v>
      </c>
      <c r="C2" s="19" t="s">
        <v>13</v>
      </c>
      <c r="D2" s="8">
        <v>2</v>
      </c>
      <c r="E2" s="9">
        <v>2</v>
      </c>
      <c r="F2" s="9">
        <v>2</v>
      </c>
      <c r="G2" s="9">
        <v>2</v>
      </c>
      <c r="H2" s="9">
        <v>2</v>
      </c>
      <c r="I2" s="9">
        <v>2</v>
      </c>
      <c r="J2" s="9">
        <v>2</v>
      </c>
      <c r="K2" s="9">
        <v>2</v>
      </c>
      <c r="L2" s="9">
        <v>2</v>
      </c>
    </row>
    <row r="3" spans="2:12" ht="38.25" x14ac:dyDescent="0.2">
      <c r="B3" s="19" t="s">
        <v>54</v>
      </c>
      <c r="C3" s="19" t="s">
        <v>13</v>
      </c>
      <c r="D3" s="8">
        <v>2</v>
      </c>
      <c r="E3" s="9">
        <v>2</v>
      </c>
      <c r="F3" s="9">
        <v>2</v>
      </c>
      <c r="G3" s="9">
        <v>2</v>
      </c>
      <c r="H3" s="9">
        <v>2</v>
      </c>
      <c r="I3" s="9">
        <v>2</v>
      </c>
      <c r="J3" s="9">
        <v>2</v>
      </c>
      <c r="K3" s="9">
        <v>2</v>
      </c>
      <c r="L3" s="9">
        <v>2</v>
      </c>
    </row>
    <row r="4" spans="2:12" ht="38.25" x14ac:dyDescent="0.2">
      <c r="B4" s="19" t="s">
        <v>55</v>
      </c>
      <c r="C4" s="19" t="s">
        <v>13</v>
      </c>
      <c r="D4" s="8">
        <v>2</v>
      </c>
      <c r="E4" s="9">
        <v>2</v>
      </c>
      <c r="F4" s="9">
        <v>2</v>
      </c>
      <c r="G4" s="9">
        <v>1</v>
      </c>
      <c r="H4" s="9">
        <v>2</v>
      </c>
      <c r="I4" s="9">
        <v>2</v>
      </c>
      <c r="J4" s="9">
        <v>2</v>
      </c>
      <c r="K4" s="9">
        <v>2</v>
      </c>
      <c r="L4" s="9">
        <v>2</v>
      </c>
    </row>
    <row r="5" spans="2:12" ht="38.25" x14ac:dyDescent="0.2">
      <c r="B5" s="19" t="s">
        <v>56</v>
      </c>
      <c r="C5" s="19" t="s">
        <v>13</v>
      </c>
      <c r="D5" s="8">
        <v>2</v>
      </c>
      <c r="E5" s="9">
        <v>2</v>
      </c>
      <c r="F5" s="9">
        <v>2</v>
      </c>
      <c r="G5" s="9">
        <v>1</v>
      </c>
      <c r="H5" s="9">
        <v>2</v>
      </c>
      <c r="I5" s="9">
        <v>2</v>
      </c>
      <c r="J5" s="9">
        <v>2</v>
      </c>
      <c r="K5" s="9">
        <v>2</v>
      </c>
      <c r="L5" s="9">
        <v>2</v>
      </c>
    </row>
    <row r="6" spans="2:12" ht="38.25" x14ac:dyDescent="0.2">
      <c r="B6" s="19" t="s">
        <v>57</v>
      </c>
      <c r="C6" s="19" t="s">
        <v>13</v>
      </c>
      <c r="D6" s="8">
        <v>2</v>
      </c>
      <c r="E6" s="9">
        <v>2</v>
      </c>
      <c r="F6" s="9">
        <v>2</v>
      </c>
      <c r="G6" s="9">
        <v>1</v>
      </c>
      <c r="H6" s="9">
        <v>2</v>
      </c>
      <c r="I6" s="9">
        <v>2</v>
      </c>
      <c r="J6" s="9">
        <v>1</v>
      </c>
      <c r="K6" s="9">
        <v>2</v>
      </c>
      <c r="L6" s="9">
        <v>2</v>
      </c>
    </row>
    <row r="7" spans="2:12" ht="38.25" x14ac:dyDescent="0.2">
      <c r="B7" s="19" t="s">
        <v>58</v>
      </c>
      <c r="C7" s="19" t="s">
        <v>13</v>
      </c>
      <c r="D7" s="8">
        <v>2</v>
      </c>
      <c r="E7" s="9">
        <v>2</v>
      </c>
      <c r="F7" s="9">
        <v>2</v>
      </c>
      <c r="G7" s="9">
        <v>2</v>
      </c>
      <c r="H7" s="9">
        <v>2</v>
      </c>
      <c r="I7" s="9">
        <v>2</v>
      </c>
      <c r="J7" s="9">
        <v>2</v>
      </c>
      <c r="K7" s="9">
        <v>2</v>
      </c>
      <c r="L7" s="9">
        <v>2</v>
      </c>
    </row>
    <row r="8" spans="2:12" ht="38.25" x14ac:dyDescent="0.2">
      <c r="B8" s="19" t="s">
        <v>59</v>
      </c>
      <c r="C8" s="19" t="s">
        <v>13</v>
      </c>
      <c r="D8" s="8">
        <v>2</v>
      </c>
      <c r="E8" s="9">
        <v>2</v>
      </c>
      <c r="F8" s="9">
        <v>2</v>
      </c>
      <c r="G8" s="9">
        <v>1</v>
      </c>
      <c r="H8" s="9">
        <v>2</v>
      </c>
      <c r="I8" s="9">
        <v>2</v>
      </c>
      <c r="J8" s="9">
        <v>2</v>
      </c>
      <c r="K8" s="9">
        <v>2</v>
      </c>
      <c r="L8" s="9">
        <v>2</v>
      </c>
    </row>
    <row r="9" spans="2:12" ht="38.25" x14ac:dyDescent="0.2">
      <c r="B9" s="19" t="s">
        <v>60</v>
      </c>
      <c r="C9" s="19" t="s">
        <v>13</v>
      </c>
      <c r="D9" s="8">
        <v>2</v>
      </c>
      <c r="E9" s="9">
        <v>1</v>
      </c>
      <c r="F9" s="9">
        <v>1</v>
      </c>
      <c r="G9" s="9">
        <v>2</v>
      </c>
      <c r="H9" s="9">
        <v>1</v>
      </c>
      <c r="I9" s="9">
        <v>1</v>
      </c>
      <c r="J9" s="9">
        <v>1</v>
      </c>
      <c r="K9" s="9">
        <v>1</v>
      </c>
      <c r="L9" s="9">
        <v>1</v>
      </c>
    </row>
    <row r="10" spans="2:12" ht="38.25" x14ac:dyDescent="0.2">
      <c r="B10" s="19" t="s">
        <v>61</v>
      </c>
      <c r="C10" s="19" t="s">
        <v>13</v>
      </c>
      <c r="D10" s="8">
        <v>2</v>
      </c>
      <c r="E10" s="9">
        <v>2</v>
      </c>
      <c r="F10" s="9">
        <v>2</v>
      </c>
      <c r="G10" s="9">
        <v>2</v>
      </c>
      <c r="H10" s="9">
        <v>1</v>
      </c>
      <c r="I10" s="9">
        <v>1</v>
      </c>
      <c r="J10" s="9">
        <v>2</v>
      </c>
      <c r="K10" s="9">
        <v>1</v>
      </c>
      <c r="L10" s="9">
        <v>1</v>
      </c>
    </row>
    <row r="11" spans="2:12" ht="38.25" x14ac:dyDescent="0.2">
      <c r="B11" s="19" t="s">
        <v>62</v>
      </c>
      <c r="C11" s="19" t="s">
        <v>13</v>
      </c>
      <c r="D11" s="8">
        <v>2</v>
      </c>
      <c r="E11" s="9">
        <v>2</v>
      </c>
      <c r="F11" s="9">
        <v>2</v>
      </c>
      <c r="G11" s="9">
        <v>2</v>
      </c>
      <c r="H11" s="9">
        <v>2</v>
      </c>
      <c r="I11" s="9">
        <v>2</v>
      </c>
      <c r="J11" s="9">
        <v>2</v>
      </c>
      <c r="K11" s="9">
        <v>2</v>
      </c>
      <c r="L11" s="9">
        <v>2</v>
      </c>
    </row>
    <row r="12" spans="2:12" ht="38.25" x14ac:dyDescent="0.2">
      <c r="B12" s="19" t="s">
        <v>63</v>
      </c>
      <c r="C12" s="19" t="s">
        <v>13</v>
      </c>
      <c r="D12" s="8">
        <v>2</v>
      </c>
      <c r="E12" s="9">
        <v>2</v>
      </c>
      <c r="F12" s="9">
        <v>2</v>
      </c>
      <c r="G12" s="9">
        <v>2</v>
      </c>
      <c r="H12" s="9">
        <v>2</v>
      </c>
      <c r="I12" s="9">
        <v>2</v>
      </c>
      <c r="J12" s="9">
        <v>2</v>
      </c>
      <c r="K12" s="9">
        <v>2</v>
      </c>
      <c r="L12" s="9">
        <v>2</v>
      </c>
    </row>
    <row r="13" spans="2:12" ht="38.25" x14ac:dyDescent="0.2">
      <c r="B13" s="19" t="s">
        <v>64</v>
      </c>
      <c r="C13" s="19" t="s">
        <v>13</v>
      </c>
      <c r="D13" s="8">
        <v>2</v>
      </c>
      <c r="E13" s="9">
        <v>2</v>
      </c>
      <c r="F13" s="9">
        <v>2</v>
      </c>
      <c r="G13" s="9">
        <v>2</v>
      </c>
      <c r="H13" s="9">
        <v>2</v>
      </c>
      <c r="I13" s="9">
        <v>2</v>
      </c>
      <c r="J13" s="9">
        <v>2</v>
      </c>
      <c r="K13" s="9">
        <v>2</v>
      </c>
      <c r="L13" s="9">
        <v>2</v>
      </c>
    </row>
    <row r="14" spans="2:12" ht="38.25" x14ac:dyDescent="0.2">
      <c r="B14" s="19" t="s">
        <v>65</v>
      </c>
      <c r="C14" s="19" t="s">
        <v>13</v>
      </c>
      <c r="D14" s="8">
        <v>2</v>
      </c>
      <c r="E14" s="9">
        <v>2</v>
      </c>
      <c r="F14" s="9">
        <v>2</v>
      </c>
      <c r="G14" s="9">
        <v>1</v>
      </c>
      <c r="H14" s="9">
        <v>2</v>
      </c>
      <c r="I14" s="9">
        <v>2</v>
      </c>
      <c r="J14" s="9">
        <v>2</v>
      </c>
      <c r="K14" s="9">
        <v>1</v>
      </c>
      <c r="L14" s="9">
        <v>2</v>
      </c>
    </row>
    <row r="15" spans="2:12" ht="38.25" x14ac:dyDescent="0.2">
      <c r="B15" s="19" t="s">
        <v>66</v>
      </c>
      <c r="C15" s="19" t="s">
        <v>13</v>
      </c>
      <c r="D15" s="8">
        <v>2</v>
      </c>
      <c r="E15" s="9">
        <v>2</v>
      </c>
      <c r="F15" s="9">
        <v>2</v>
      </c>
      <c r="G15" s="9">
        <v>2</v>
      </c>
      <c r="H15" s="9">
        <v>2</v>
      </c>
      <c r="I15" s="9">
        <v>2</v>
      </c>
      <c r="J15" s="9">
        <v>2</v>
      </c>
      <c r="K15" s="9">
        <v>2</v>
      </c>
      <c r="L15" s="9">
        <v>2</v>
      </c>
    </row>
    <row r="16" spans="2:12" ht="38.25" x14ac:dyDescent="0.2">
      <c r="B16" s="19" t="s">
        <v>67</v>
      </c>
      <c r="C16" s="19" t="s">
        <v>13</v>
      </c>
      <c r="D16" s="8">
        <v>2</v>
      </c>
      <c r="E16" s="9">
        <v>2</v>
      </c>
      <c r="F16" s="9">
        <v>2</v>
      </c>
      <c r="G16" s="9">
        <v>1</v>
      </c>
      <c r="H16" s="9">
        <v>2</v>
      </c>
      <c r="I16" s="9">
        <v>2</v>
      </c>
      <c r="J16" s="9">
        <v>2</v>
      </c>
      <c r="K16" s="9">
        <v>2</v>
      </c>
      <c r="L16" s="9">
        <v>2</v>
      </c>
    </row>
    <row r="17" spans="3:12" x14ac:dyDescent="0.2">
      <c r="C17" s="20" t="s">
        <v>23</v>
      </c>
      <c r="D17" s="17">
        <f>SUM(D2:D16)</f>
        <v>30</v>
      </c>
      <c r="E17" s="17">
        <f t="shared" ref="E17:L17" si="0">SUM(E2:E16)</f>
        <v>29</v>
      </c>
      <c r="F17" s="17">
        <f t="shared" si="0"/>
        <v>29</v>
      </c>
      <c r="G17" s="17">
        <f t="shared" si="0"/>
        <v>24</v>
      </c>
      <c r="H17" s="17">
        <f t="shared" si="0"/>
        <v>28</v>
      </c>
      <c r="I17" s="17">
        <f t="shared" si="0"/>
        <v>28</v>
      </c>
      <c r="J17" s="17">
        <f t="shared" si="0"/>
        <v>28</v>
      </c>
      <c r="K17" s="17">
        <f t="shared" si="0"/>
        <v>27</v>
      </c>
      <c r="L17" s="17">
        <f t="shared" si="0"/>
        <v>28</v>
      </c>
    </row>
    <row r="18" spans="3:12" x14ac:dyDescent="0.2">
      <c r="C18" s="20" t="s">
        <v>24</v>
      </c>
      <c r="D18" s="17">
        <f>D17/5</f>
        <v>6</v>
      </c>
      <c r="E18" s="9" cm="1">
        <f t="array" ref="E18">_xlfn.IFS(E17&lt;6,1,E17&lt;12,2,E17&lt;18,3,E17&lt;24,4,E17&lt;=30,5)</f>
        <v>5</v>
      </c>
      <c r="F18" s="9" cm="1">
        <f t="array" ref="F18">_xlfn.IFS(F17&lt;6,1,F17&lt;12,2,F17&lt;18,3,F17&lt;24,4,F17&lt;=30,5)</f>
        <v>5</v>
      </c>
      <c r="G18" s="9" cm="1">
        <f t="array" ref="G18">_xlfn.IFS(G17&lt;6,1,G17&lt;12,2,G17&lt;18,3,G17&lt;24,4,G17&lt;=30,5)</f>
        <v>5</v>
      </c>
      <c r="H18" s="9" cm="1">
        <f t="array" ref="H18">_xlfn.IFS(H17&lt;6,1,H17&lt;12,2,H17&lt;18,3,H17&lt;24,4,H17&lt;=30,5)</f>
        <v>5</v>
      </c>
      <c r="I18" s="9" cm="1">
        <f t="array" ref="I18">_xlfn.IFS(I17&lt;6,1,I17&lt;12,2,I17&lt;18,3,I17&lt;24,4,I17&lt;=30,5)</f>
        <v>5</v>
      </c>
      <c r="J18" s="9" cm="1">
        <f t="array" ref="J18">_xlfn.IFS(J17&lt;6,1,J17&lt;12,2,J17&lt;18,3,J17&lt;24,4,J17&lt;=30,5)</f>
        <v>5</v>
      </c>
      <c r="K18" s="9" cm="1">
        <f t="array" ref="K18">_xlfn.IFS(K17&lt;6,1,K17&lt;12,2,K17&lt;18,3,K17&lt;24,4,K17&lt;=30,5)</f>
        <v>5</v>
      </c>
      <c r="L18" s="9" cm="1">
        <f t="array" ref="L18">_xlfn.IFS(L17&lt;6,1,L17&lt;12,2,L17&lt;18,3,L17&lt;24,4,L17&lt;=30,5)</f>
        <v>5</v>
      </c>
    </row>
    <row r="19" spans="3:12" x14ac:dyDescent="0.2">
      <c r="D19" s="4"/>
      <c r="E19" s="4"/>
      <c r="F19" s="4"/>
      <c r="G19" s="4"/>
      <c r="H19" s="4"/>
      <c r="I19" s="4"/>
      <c r="J19" s="4"/>
      <c r="K19" s="4"/>
      <c r="L19" s="4"/>
    </row>
    <row r="20" spans="3:12" x14ac:dyDescent="0.2">
      <c r="D20" s="4"/>
      <c r="E20" s="4"/>
      <c r="F20" s="4"/>
      <c r="G20" s="4"/>
      <c r="H20" s="4"/>
      <c r="I20" s="4"/>
      <c r="J20" s="4"/>
      <c r="K20" s="4"/>
      <c r="L20" s="4"/>
    </row>
    <row r="21" spans="3:12" x14ac:dyDescent="0.2">
      <c r="D21" s="4"/>
      <c r="E21" s="4"/>
      <c r="F21" s="4"/>
      <c r="G21" s="4"/>
      <c r="H21" s="4"/>
      <c r="I21" s="4"/>
      <c r="J21" s="4"/>
      <c r="K21" s="4"/>
      <c r="L21" s="4"/>
    </row>
  </sheetData>
  <phoneticPr fontId="3" type="noConversion"/>
  <pageMargins left="0.7" right="0.7" top="0.75" bottom="0.75" header="0.3" footer="0.3"/>
  <pageSetup orientation="portrait"/>
  <headerFooter>
    <oddFooter>&amp;C_x000D_&amp;1#&amp;"Calibri"&amp;6&amp;K000000 Clasificación: Uso Interno. Documento Claro Colombia</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BE8C-68A0-4163-941F-CA3849766B10}">
  <dimension ref="B1:P270"/>
  <sheetViews>
    <sheetView showGridLines="0" tabSelected="1" zoomScale="112" zoomScaleNormal="98" workbookViewId="0">
      <pane xSplit="1" ySplit="1" topLeftCell="B256" activePane="bottomRight" state="frozen"/>
      <selection pane="topRight" activeCell="D1" sqref="D1"/>
      <selection pane="bottomLeft" activeCell="A5" sqref="A5"/>
      <selection pane="bottomRight" activeCell="E259" sqref="E259"/>
    </sheetView>
  </sheetViews>
  <sheetFormatPr baseColWidth="10" defaultColWidth="9.140625" defaultRowHeight="12.75" x14ac:dyDescent="0.2"/>
  <cols>
    <col min="1" max="1" width="3.5703125" style="2" customWidth="1"/>
    <col min="2" max="3" width="14.28515625" style="2" customWidth="1"/>
    <col min="4" max="4" width="20.28515625" style="2" customWidth="1"/>
    <col min="5" max="5" width="75" style="4" customWidth="1"/>
    <col min="6" max="6" width="30.85546875" style="4" customWidth="1"/>
    <col min="7" max="7" width="15.7109375" style="1" bestFit="1" customWidth="1"/>
    <col min="8" max="8" width="8.28515625" style="1" customWidth="1"/>
    <col min="9" max="9" width="4.7109375" style="38" customWidth="1"/>
    <col min="10" max="10" width="6.7109375" style="38" customWidth="1"/>
    <col min="11" max="11" width="7.5703125" style="38" customWidth="1"/>
    <col min="12" max="12" width="9.140625" style="2" bestFit="1" customWidth="1"/>
    <col min="13" max="13" width="10.85546875" style="2" bestFit="1" customWidth="1"/>
    <col min="14" max="15" width="9.140625" style="2" bestFit="1" customWidth="1"/>
    <col min="16" max="16" width="12.5703125" style="2" customWidth="1"/>
    <col min="17" max="23" width="9.140625" style="2" bestFit="1" customWidth="1"/>
    <col min="24" max="16384" width="9.140625" style="2"/>
  </cols>
  <sheetData>
    <row r="1" spans="2:16" ht="42.75" x14ac:dyDescent="0.2">
      <c r="B1" s="32"/>
      <c r="C1" s="32" t="s">
        <v>68</v>
      </c>
      <c r="D1" s="32" t="s">
        <v>69</v>
      </c>
      <c r="E1" s="33" t="s">
        <v>0</v>
      </c>
      <c r="F1" s="33" t="s">
        <v>1</v>
      </c>
      <c r="G1" s="10" t="s">
        <v>2</v>
      </c>
      <c r="H1" s="7" t="s">
        <v>3</v>
      </c>
      <c r="I1" s="7" t="s">
        <v>4</v>
      </c>
      <c r="J1" s="7" t="s">
        <v>5</v>
      </c>
      <c r="K1" s="7" t="s">
        <v>6</v>
      </c>
      <c r="L1" s="21" t="s">
        <v>7</v>
      </c>
      <c r="M1" s="21" t="s">
        <v>8</v>
      </c>
      <c r="N1" s="21" t="s">
        <v>9</v>
      </c>
      <c r="O1" s="21" t="s">
        <v>10</v>
      </c>
      <c r="P1" s="21" t="s">
        <v>11</v>
      </c>
    </row>
    <row r="2" spans="2:16" ht="38.25" x14ac:dyDescent="0.2">
      <c r="B2" s="25">
        <v>1</v>
      </c>
      <c r="C2" s="39" t="s">
        <v>70</v>
      </c>
      <c r="D2" s="34" t="s">
        <v>71</v>
      </c>
      <c r="E2" s="31" t="s">
        <v>72</v>
      </c>
      <c r="F2" s="31" t="s">
        <v>13</v>
      </c>
      <c r="G2" s="26">
        <v>2</v>
      </c>
      <c r="H2" s="27">
        <v>2</v>
      </c>
      <c r="I2" s="9">
        <v>2</v>
      </c>
      <c r="J2" s="27">
        <v>2</v>
      </c>
      <c r="K2" s="27">
        <v>1</v>
      </c>
      <c r="L2" s="27">
        <v>0</v>
      </c>
      <c r="M2" s="27">
        <v>2</v>
      </c>
      <c r="N2" s="27">
        <v>2</v>
      </c>
      <c r="O2" s="27">
        <v>1</v>
      </c>
      <c r="P2" s="27">
        <v>2</v>
      </c>
    </row>
    <row r="3" spans="2:16" ht="38.25" x14ac:dyDescent="0.2">
      <c r="B3" s="25">
        <v>2</v>
      </c>
      <c r="C3" s="39" t="s">
        <v>70</v>
      </c>
      <c r="D3" s="34" t="s">
        <v>71</v>
      </c>
      <c r="E3" s="31" t="s">
        <v>73</v>
      </c>
      <c r="F3" s="31" t="s">
        <v>13</v>
      </c>
      <c r="G3" s="26">
        <v>2</v>
      </c>
      <c r="H3" s="27">
        <v>2</v>
      </c>
      <c r="I3" s="9">
        <v>2</v>
      </c>
      <c r="J3" s="27">
        <v>2</v>
      </c>
      <c r="K3" s="27">
        <v>1</v>
      </c>
      <c r="L3" s="27">
        <v>0</v>
      </c>
      <c r="M3" s="27">
        <v>2</v>
      </c>
      <c r="N3" s="27">
        <v>2</v>
      </c>
      <c r="O3" s="27">
        <v>0</v>
      </c>
      <c r="P3" s="27">
        <v>2</v>
      </c>
    </row>
    <row r="4" spans="2:16" ht="51" x14ac:dyDescent="0.2">
      <c r="B4" s="25">
        <v>3</v>
      </c>
      <c r="C4" s="39" t="s">
        <v>70</v>
      </c>
      <c r="D4" s="34" t="s">
        <v>71</v>
      </c>
      <c r="E4" s="31" t="s">
        <v>74</v>
      </c>
      <c r="F4" s="31" t="s">
        <v>13</v>
      </c>
      <c r="G4" s="26">
        <v>2</v>
      </c>
      <c r="H4" s="27">
        <v>2</v>
      </c>
      <c r="I4" s="9">
        <v>0</v>
      </c>
      <c r="J4" s="27">
        <v>2</v>
      </c>
      <c r="K4" s="27">
        <v>1</v>
      </c>
      <c r="L4" s="27">
        <v>0</v>
      </c>
      <c r="M4" s="27">
        <v>2</v>
      </c>
      <c r="N4" s="27">
        <v>2</v>
      </c>
      <c r="O4" s="27">
        <v>0</v>
      </c>
      <c r="P4" s="27">
        <v>1</v>
      </c>
    </row>
    <row r="5" spans="2:16" ht="38.25" x14ac:dyDescent="0.2">
      <c r="B5" s="25">
        <v>4</v>
      </c>
      <c r="C5" s="39" t="s">
        <v>70</v>
      </c>
      <c r="D5" s="34" t="s">
        <v>71</v>
      </c>
      <c r="E5" s="31" t="s">
        <v>75</v>
      </c>
      <c r="F5" s="31" t="s">
        <v>13</v>
      </c>
      <c r="G5" s="26">
        <v>2</v>
      </c>
      <c r="H5" s="27">
        <v>2</v>
      </c>
      <c r="I5" s="9">
        <v>2</v>
      </c>
      <c r="J5" s="27">
        <v>2</v>
      </c>
      <c r="K5" s="27">
        <v>1</v>
      </c>
      <c r="L5" s="27">
        <v>0</v>
      </c>
      <c r="M5" s="27">
        <v>2</v>
      </c>
      <c r="N5" s="27">
        <v>2</v>
      </c>
      <c r="O5" s="27">
        <v>1</v>
      </c>
      <c r="P5" s="27">
        <v>1</v>
      </c>
    </row>
    <row r="6" spans="2:16" ht="51" x14ac:dyDescent="0.2">
      <c r="B6" s="25">
        <v>5</v>
      </c>
      <c r="C6" s="39" t="s">
        <v>70</v>
      </c>
      <c r="D6" s="34" t="s">
        <v>71</v>
      </c>
      <c r="E6" s="31" t="s">
        <v>76</v>
      </c>
      <c r="F6" s="31" t="s">
        <v>13</v>
      </c>
      <c r="G6" s="26">
        <v>2</v>
      </c>
      <c r="H6" s="27">
        <v>2</v>
      </c>
      <c r="I6" s="9">
        <v>2</v>
      </c>
      <c r="J6" s="27">
        <v>2</v>
      </c>
      <c r="K6" s="27">
        <v>0</v>
      </c>
      <c r="L6" s="27">
        <v>0</v>
      </c>
      <c r="M6" s="27">
        <v>2</v>
      </c>
      <c r="N6" s="27">
        <v>1</v>
      </c>
      <c r="O6" s="27">
        <v>1</v>
      </c>
      <c r="P6" s="27">
        <v>1</v>
      </c>
    </row>
    <row r="7" spans="2:16" ht="38.25" x14ac:dyDescent="0.2">
      <c r="B7" s="25">
        <v>6</v>
      </c>
      <c r="C7" s="39" t="s">
        <v>70</v>
      </c>
      <c r="D7" s="34" t="s">
        <v>71</v>
      </c>
      <c r="E7" s="31" t="s">
        <v>77</v>
      </c>
      <c r="F7" s="31" t="s">
        <v>13</v>
      </c>
      <c r="G7" s="26">
        <v>2</v>
      </c>
      <c r="H7" s="27">
        <v>2</v>
      </c>
      <c r="I7" s="27">
        <v>2</v>
      </c>
      <c r="J7" s="27">
        <v>2</v>
      </c>
      <c r="K7" s="27">
        <v>2</v>
      </c>
      <c r="L7" s="27">
        <v>0</v>
      </c>
      <c r="M7" s="27">
        <v>2</v>
      </c>
      <c r="N7" s="27">
        <v>2</v>
      </c>
      <c r="O7" s="27">
        <v>1</v>
      </c>
      <c r="P7" s="27">
        <v>2</v>
      </c>
    </row>
    <row r="8" spans="2:16" ht="38.25" x14ac:dyDescent="0.2">
      <c r="B8" s="25">
        <v>7</v>
      </c>
      <c r="C8" s="39" t="s">
        <v>70</v>
      </c>
      <c r="D8" s="34" t="s">
        <v>71</v>
      </c>
      <c r="E8" s="31" t="s">
        <v>78</v>
      </c>
      <c r="F8" s="31" t="s">
        <v>13</v>
      </c>
      <c r="G8" s="26">
        <v>2</v>
      </c>
      <c r="H8" s="27">
        <v>2</v>
      </c>
      <c r="I8" s="9">
        <v>2</v>
      </c>
      <c r="J8" s="27">
        <v>2</v>
      </c>
      <c r="K8" s="27">
        <v>0</v>
      </c>
      <c r="L8" s="27">
        <v>0</v>
      </c>
      <c r="M8" s="27">
        <v>2</v>
      </c>
      <c r="N8" s="27">
        <v>2</v>
      </c>
      <c r="O8" s="27">
        <v>0</v>
      </c>
      <c r="P8" s="27">
        <v>1</v>
      </c>
    </row>
    <row r="9" spans="2:16" ht="38.25" x14ac:dyDescent="0.2">
      <c r="B9" s="25">
        <v>8</v>
      </c>
      <c r="C9" s="39" t="s">
        <v>70</v>
      </c>
      <c r="D9" s="34" t="s">
        <v>71</v>
      </c>
      <c r="E9" s="31" t="s">
        <v>79</v>
      </c>
      <c r="F9" s="31" t="s">
        <v>13</v>
      </c>
      <c r="G9" s="26">
        <v>2</v>
      </c>
      <c r="H9" s="27">
        <v>2</v>
      </c>
      <c r="I9" s="9">
        <v>2</v>
      </c>
      <c r="J9" s="27">
        <v>2</v>
      </c>
      <c r="K9" s="27">
        <v>0</v>
      </c>
      <c r="L9" s="27">
        <v>0</v>
      </c>
      <c r="M9" s="27">
        <v>2</v>
      </c>
      <c r="N9" s="27">
        <v>1</v>
      </c>
      <c r="O9" s="27">
        <v>0</v>
      </c>
      <c r="P9" s="27">
        <v>1</v>
      </c>
    </row>
    <row r="10" spans="2:16" ht="38.25" x14ac:dyDescent="0.2">
      <c r="B10" s="25">
        <v>9</v>
      </c>
      <c r="C10" s="39" t="s">
        <v>70</v>
      </c>
      <c r="D10" s="34" t="s">
        <v>71</v>
      </c>
      <c r="E10" s="31" t="s">
        <v>80</v>
      </c>
      <c r="F10" s="31" t="s">
        <v>13</v>
      </c>
      <c r="G10" s="26">
        <v>2</v>
      </c>
      <c r="H10" s="27">
        <v>1</v>
      </c>
      <c r="I10" s="9">
        <v>2</v>
      </c>
      <c r="J10" s="27">
        <v>2</v>
      </c>
      <c r="K10" s="27">
        <v>0</v>
      </c>
      <c r="L10" s="27">
        <v>0</v>
      </c>
      <c r="M10" s="27">
        <v>1</v>
      </c>
      <c r="N10" s="27">
        <v>1</v>
      </c>
      <c r="O10" s="27">
        <v>0</v>
      </c>
      <c r="P10" s="27">
        <v>1</v>
      </c>
    </row>
    <row r="11" spans="2:16" ht="51" x14ac:dyDescent="0.2">
      <c r="B11" s="25">
        <v>10</v>
      </c>
      <c r="C11" s="39" t="s">
        <v>70</v>
      </c>
      <c r="D11" s="34" t="s">
        <v>71</v>
      </c>
      <c r="E11" s="31" t="s">
        <v>81</v>
      </c>
      <c r="F11" s="31" t="s">
        <v>13</v>
      </c>
      <c r="G11" s="26">
        <v>2</v>
      </c>
      <c r="H11" s="27">
        <v>2</v>
      </c>
      <c r="I11" s="9">
        <v>2</v>
      </c>
      <c r="J11" s="27">
        <v>2</v>
      </c>
      <c r="K11" s="27">
        <v>2</v>
      </c>
      <c r="L11" s="27">
        <v>0</v>
      </c>
      <c r="M11" s="27">
        <v>1</v>
      </c>
      <c r="N11" s="27">
        <v>1</v>
      </c>
      <c r="O11" s="27">
        <v>0</v>
      </c>
      <c r="P11" s="27">
        <v>2</v>
      </c>
    </row>
    <row r="12" spans="2:16" ht="38.25" x14ac:dyDescent="0.2">
      <c r="B12" s="25">
        <v>11</v>
      </c>
      <c r="C12" s="39" t="s">
        <v>70</v>
      </c>
      <c r="D12" s="34" t="s">
        <v>71</v>
      </c>
      <c r="E12" s="31" t="s">
        <v>82</v>
      </c>
      <c r="F12" s="31" t="s">
        <v>13</v>
      </c>
      <c r="G12" s="26">
        <v>2</v>
      </c>
      <c r="H12" s="27">
        <v>1</v>
      </c>
      <c r="I12" s="9">
        <v>2</v>
      </c>
      <c r="J12" s="27">
        <v>2</v>
      </c>
      <c r="K12" s="27">
        <v>2</v>
      </c>
      <c r="L12" s="27">
        <v>0</v>
      </c>
      <c r="M12" s="27">
        <v>1</v>
      </c>
      <c r="N12" s="27">
        <v>2</v>
      </c>
      <c r="O12" s="27">
        <v>0</v>
      </c>
      <c r="P12" s="27">
        <v>2</v>
      </c>
    </row>
    <row r="13" spans="2:16" ht="38.25" x14ac:dyDescent="0.2">
      <c r="B13" s="25">
        <v>12</v>
      </c>
      <c r="C13" s="39" t="s">
        <v>70</v>
      </c>
      <c r="D13" s="34" t="s">
        <v>71</v>
      </c>
      <c r="E13" s="31" t="s">
        <v>83</v>
      </c>
      <c r="F13" s="31" t="s">
        <v>13</v>
      </c>
      <c r="G13" s="26">
        <v>2</v>
      </c>
      <c r="H13" s="27">
        <v>2</v>
      </c>
      <c r="I13" s="9">
        <v>2</v>
      </c>
      <c r="J13" s="27">
        <v>2</v>
      </c>
      <c r="K13" s="27">
        <v>1</v>
      </c>
      <c r="L13" s="27">
        <v>0</v>
      </c>
      <c r="M13" s="27">
        <v>2</v>
      </c>
      <c r="N13" s="27">
        <v>2</v>
      </c>
      <c r="O13" s="27">
        <v>0</v>
      </c>
      <c r="P13" s="27">
        <v>2</v>
      </c>
    </row>
    <row r="14" spans="2:16" ht="38.25" x14ac:dyDescent="0.2">
      <c r="B14" s="25">
        <v>13</v>
      </c>
      <c r="C14" s="39" t="s">
        <v>70</v>
      </c>
      <c r="D14" s="34" t="s">
        <v>71</v>
      </c>
      <c r="E14" s="31" t="s">
        <v>84</v>
      </c>
      <c r="F14" s="31" t="s">
        <v>13</v>
      </c>
      <c r="G14" s="26">
        <v>2</v>
      </c>
      <c r="H14" s="27">
        <v>2</v>
      </c>
      <c r="I14" s="9">
        <v>2</v>
      </c>
      <c r="J14" s="27">
        <v>2</v>
      </c>
      <c r="K14" s="27">
        <v>1</v>
      </c>
      <c r="L14" s="27">
        <v>0</v>
      </c>
      <c r="M14" s="27">
        <v>1</v>
      </c>
      <c r="N14" s="27">
        <v>2</v>
      </c>
      <c r="O14" s="27">
        <v>0</v>
      </c>
      <c r="P14" s="27">
        <v>2</v>
      </c>
    </row>
    <row r="15" spans="2:16" ht="51" x14ac:dyDescent="0.2">
      <c r="B15" s="25">
        <v>14</v>
      </c>
      <c r="C15" s="39" t="s">
        <v>70</v>
      </c>
      <c r="D15" s="34" t="s">
        <v>71</v>
      </c>
      <c r="E15" s="31" t="s">
        <v>85</v>
      </c>
      <c r="F15" s="31" t="s">
        <v>13</v>
      </c>
      <c r="G15" s="26">
        <v>2</v>
      </c>
      <c r="H15" s="27">
        <v>2</v>
      </c>
      <c r="I15" s="9">
        <v>2</v>
      </c>
      <c r="J15" s="27">
        <v>2</v>
      </c>
      <c r="K15" s="27">
        <v>0</v>
      </c>
      <c r="L15" s="27">
        <v>2</v>
      </c>
      <c r="M15" s="27">
        <v>1</v>
      </c>
      <c r="N15" s="27">
        <v>2</v>
      </c>
      <c r="O15" s="27">
        <v>0</v>
      </c>
      <c r="P15" s="27">
        <v>1</v>
      </c>
    </row>
    <row r="16" spans="2:16" ht="38.25" x14ac:dyDescent="0.2">
      <c r="B16" s="25">
        <v>15</v>
      </c>
      <c r="C16" s="39" t="s">
        <v>70</v>
      </c>
      <c r="D16" s="34" t="s">
        <v>71</v>
      </c>
      <c r="E16" s="31" t="s">
        <v>86</v>
      </c>
      <c r="F16" s="31" t="s">
        <v>13</v>
      </c>
      <c r="G16" s="26">
        <v>2</v>
      </c>
      <c r="H16" s="27">
        <v>2</v>
      </c>
      <c r="I16" s="9">
        <v>2</v>
      </c>
      <c r="J16" s="27">
        <v>2</v>
      </c>
      <c r="K16" s="27">
        <v>1</v>
      </c>
      <c r="L16" s="27">
        <v>0</v>
      </c>
      <c r="M16" s="27">
        <v>2</v>
      </c>
      <c r="N16" s="27">
        <v>1</v>
      </c>
      <c r="O16" s="27">
        <v>2</v>
      </c>
      <c r="P16" s="27">
        <v>1</v>
      </c>
    </row>
    <row r="17" spans="2:16" ht="76.5" x14ac:dyDescent="0.2">
      <c r="B17" s="25">
        <v>16</v>
      </c>
      <c r="C17" s="39" t="s">
        <v>87</v>
      </c>
      <c r="D17" s="34" t="s">
        <v>88</v>
      </c>
      <c r="E17" s="31" t="s">
        <v>89</v>
      </c>
      <c r="F17" s="31" t="s">
        <v>13</v>
      </c>
      <c r="G17" s="26">
        <v>2</v>
      </c>
      <c r="H17" s="27">
        <v>2</v>
      </c>
      <c r="I17" s="9">
        <v>2</v>
      </c>
      <c r="J17" s="27">
        <v>2</v>
      </c>
      <c r="K17" s="27">
        <v>1</v>
      </c>
      <c r="L17" s="27">
        <v>0</v>
      </c>
      <c r="M17" s="27">
        <v>1</v>
      </c>
      <c r="N17" s="27">
        <v>1</v>
      </c>
      <c r="O17" s="27">
        <v>0</v>
      </c>
      <c r="P17" s="27">
        <v>1</v>
      </c>
    </row>
    <row r="18" spans="2:16" ht="51" x14ac:dyDescent="0.2">
      <c r="B18" s="25">
        <v>17</v>
      </c>
      <c r="C18" s="39" t="s">
        <v>87</v>
      </c>
      <c r="D18" s="34" t="s">
        <v>88</v>
      </c>
      <c r="E18" s="31" t="s">
        <v>90</v>
      </c>
      <c r="F18" s="31" t="s">
        <v>13</v>
      </c>
      <c r="G18" s="26">
        <v>2</v>
      </c>
      <c r="H18" s="27">
        <v>2</v>
      </c>
      <c r="I18" s="9">
        <v>2</v>
      </c>
      <c r="J18" s="27">
        <v>2</v>
      </c>
      <c r="K18" s="27">
        <v>0</v>
      </c>
      <c r="L18" s="27">
        <v>0</v>
      </c>
      <c r="M18" s="27">
        <v>1</v>
      </c>
      <c r="N18" s="27">
        <v>1</v>
      </c>
      <c r="O18" s="27">
        <v>0</v>
      </c>
      <c r="P18" s="27">
        <v>1</v>
      </c>
    </row>
    <row r="19" spans="2:16" ht="63.75" x14ac:dyDescent="0.2">
      <c r="B19" s="25">
        <v>18</v>
      </c>
      <c r="C19" s="39" t="s">
        <v>87</v>
      </c>
      <c r="D19" s="34" t="s">
        <v>88</v>
      </c>
      <c r="E19" s="31" t="s">
        <v>91</v>
      </c>
      <c r="F19" s="31" t="s">
        <v>13</v>
      </c>
      <c r="G19" s="26">
        <v>2</v>
      </c>
      <c r="H19" s="27">
        <v>2</v>
      </c>
      <c r="I19" s="9">
        <v>2</v>
      </c>
      <c r="J19" s="27">
        <v>2</v>
      </c>
      <c r="K19" s="27">
        <v>0</v>
      </c>
      <c r="L19" s="27">
        <v>0</v>
      </c>
      <c r="M19" s="27">
        <v>1</v>
      </c>
      <c r="N19" s="27">
        <v>2</v>
      </c>
      <c r="O19" s="27">
        <v>0</v>
      </c>
      <c r="P19" s="27">
        <v>1</v>
      </c>
    </row>
    <row r="20" spans="2:16" ht="38.25" x14ac:dyDescent="0.2">
      <c r="B20" s="25">
        <v>19</v>
      </c>
      <c r="C20" s="39" t="s">
        <v>87</v>
      </c>
      <c r="D20" s="34" t="s">
        <v>88</v>
      </c>
      <c r="E20" s="31" t="s">
        <v>92</v>
      </c>
      <c r="F20" s="31" t="s">
        <v>13</v>
      </c>
      <c r="G20" s="26">
        <v>2</v>
      </c>
      <c r="H20" s="27">
        <v>2</v>
      </c>
      <c r="I20" s="9">
        <v>2</v>
      </c>
      <c r="J20" s="27">
        <v>2</v>
      </c>
      <c r="K20" s="27">
        <v>0</v>
      </c>
      <c r="L20" s="27">
        <v>0</v>
      </c>
      <c r="M20" s="27">
        <v>1</v>
      </c>
      <c r="N20" s="27">
        <v>2</v>
      </c>
      <c r="O20" s="27">
        <v>0</v>
      </c>
      <c r="P20" s="27">
        <v>1</v>
      </c>
    </row>
    <row r="21" spans="2:16" ht="38.25" x14ac:dyDescent="0.2">
      <c r="B21" s="25">
        <v>20</v>
      </c>
      <c r="C21" s="39" t="s">
        <v>87</v>
      </c>
      <c r="D21" s="34" t="s">
        <v>93</v>
      </c>
      <c r="E21" s="31" t="s">
        <v>94</v>
      </c>
      <c r="F21" s="31" t="s">
        <v>13</v>
      </c>
      <c r="G21" s="26">
        <v>2</v>
      </c>
      <c r="H21" s="27">
        <v>2</v>
      </c>
      <c r="I21" s="9">
        <v>2</v>
      </c>
      <c r="J21" s="27">
        <v>2</v>
      </c>
      <c r="K21" s="27">
        <v>2</v>
      </c>
      <c r="L21" s="27">
        <v>1</v>
      </c>
      <c r="M21" s="27">
        <v>2</v>
      </c>
      <c r="N21" s="27">
        <v>2</v>
      </c>
      <c r="O21" s="27">
        <v>1</v>
      </c>
      <c r="P21" s="27">
        <v>2</v>
      </c>
    </row>
    <row r="22" spans="2:16" ht="38.25" x14ac:dyDescent="0.2">
      <c r="B22" s="25">
        <v>21</v>
      </c>
      <c r="C22" s="39" t="s">
        <v>87</v>
      </c>
      <c r="D22" s="34" t="s">
        <v>95</v>
      </c>
      <c r="E22" s="31" t="s">
        <v>96</v>
      </c>
      <c r="F22" s="31" t="s">
        <v>13</v>
      </c>
      <c r="G22" s="26">
        <v>2</v>
      </c>
      <c r="H22" s="27">
        <v>2</v>
      </c>
      <c r="I22" s="9">
        <v>2</v>
      </c>
      <c r="J22" s="27">
        <v>2</v>
      </c>
      <c r="K22" s="27">
        <v>1</v>
      </c>
      <c r="L22" s="27">
        <v>1</v>
      </c>
      <c r="M22" s="27">
        <v>2</v>
      </c>
      <c r="N22" s="27">
        <v>1</v>
      </c>
      <c r="O22" s="27">
        <v>1</v>
      </c>
      <c r="P22" s="27">
        <v>2</v>
      </c>
    </row>
    <row r="23" spans="2:16" ht="38.25" x14ac:dyDescent="0.2">
      <c r="B23" s="25">
        <v>22</v>
      </c>
      <c r="C23" s="39" t="s">
        <v>87</v>
      </c>
      <c r="D23" s="34" t="s">
        <v>95</v>
      </c>
      <c r="E23" s="31" t="s">
        <v>97</v>
      </c>
      <c r="F23" s="31" t="s">
        <v>13</v>
      </c>
      <c r="G23" s="26">
        <v>2</v>
      </c>
      <c r="H23" s="27">
        <v>2</v>
      </c>
      <c r="I23" s="9">
        <v>2</v>
      </c>
      <c r="J23" s="27">
        <v>2</v>
      </c>
      <c r="K23" s="27">
        <v>2</v>
      </c>
      <c r="L23" s="27">
        <v>1</v>
      </c>
      <c r="M23" s="27">
        <v>2</v>
      </c>
      <c r="N23" s="27">
        <v>1</v>
      </c>
      <c r="O23" s="27">
        <v>1</v>
      </c>
      <c r="P23" s="27">
        <v>2</v>
      </c>
    </row>
    <row r="24" spans="2:16" ht="38.25" x14ac:dyDescent="0.2">
      <c r="B24" s="25">
        <v>23</v>
      </c>
      <c r="C24" s="39" t="s">
        <v>87</v>
      </c>
      <c r="D24" s="34" t="s">
        <v>95</v>
      </c>
      <c r="E24" s="31" t="s">
        <v>98</v>
      </c>
      <c r="F24" s="31" t="s">
        <v>13</v>
      </c>
      <c r="G24" s="26">
        <v>2</v>
      </c>
      <c r="H24" s="27">
        <v>2</v>
      </c>
      <c r="I24" s="9">
        <v>2</v>
      </c>
      <c r="J24" s="27">
        <v>2</v>
      </c>
      <c r="K24" s="27">
        <v>2</v>
      </c>
      <c r="L24" s="27">
        <v>0</v>
      </c>
      <c r="M24" s="27">
        <v>2</v>
      </c>
      <c r="N24" s="27">
        <v>2</v>
      </c>
      <c r="O24" s="27">
        <v>1</v>
      </c>
      <c r="P24" s="27">
        <v>2</v>
      </c>
    </row>
    <row r="25" spans="2:16" ht="38.25" x14ac:dyDescent="0.2">
      <c r="B25" s="25">
        <v>24</v>
      </c>
      <c r="C25" s="39" t="s">
        <v>87</v>
      </c>
      <c r="D25" s="34" t="s">
        <v>95</v>
      </c>
      <c r="E25" s="31" t="s">
        <v>99</v>
      </c>
      <c r="F25" s="31" t="s">
        <v>13</v>
      </c>
      <c r="G25" s="26">
        <v>2</v>
      </c>
      <c r="H25" s="27">
        <v>2</v>
      </c>
      <c r="I25" s="9">
        <v>2</v>
      </c>
      <c r="J25" s="27">
        <v>2</v>
      </c>
      <c r="K25" s="27">
        <v>1</v>
      </c>
      <c r="L25" s="27">
        <v>0</v>
      </c>
      <c r="M25" s="27">
        <v>2</v>
      </c>
      <c r="N25" s="27">
        <v>1</v>
      </c>
      <c r="O25" s="27">
        <v>1</v>
      </c>
      <c r="P25" s="27">
        <v>2</v>
      </c>
    </row>
    <row r="26" spans="2:16" ht="38.25" x14ac:dyDescent="0.2">
      <c r="B26" s="25">
        <v>25</v>
      </c>
      <c r="C26" s="39" t="s">
        <v>87</v>
      </c>
      <c r="D26" s="34" t="s">
        <v>95</v>
      </c>
      <c r="E26" s="31" t="s">
        <v>100</v>
      </c>
      <c r="F26" s="31" t="s">
        <v>13</v>
      </c>
      <c r="G26" s="26">
        <v>2</v>
      </c>
      <c r="H26" s="27">
        <v>2</v>
      </c>
      <c r="I26" s="9">
        <v>2</v>
      </c>
      <c r="J26" s="27">
        <v>2</v>
      </c>
      <c r="K26" s="27">
        <v>2</v>
      </c>
      <c r="L26" s="27">
        <v>0</v>
      </c>
      <c r="M26" s="27">
        <v>2</v>
      </c>
      <c r="N26" s="27">
        <v>2</v>
      </c>
      <c r="O26" s="27">
        <v>1</v>
      </c>
      <c r="P26" s="27">
        <v>1</v>
      </c>
    </row>
    <row r="27" spans="2:16" ht="38.25" x14ac:dyDescent="0.2">
      <c r="B27" s="25">
        <v>26</v>
      </c>
      <c r="C27" s="39" t="s">
        <v>87</v>
      </c>
      <c r="D27" s="34" t="s">
        <v>95</v>
      </c>
      <c r="E27" s="31" t="s">
        <v>101</v>
      </c>
      <c r="F27" s="31" t="s">
        <v>13</v>
      </c>
      <c r="G27" s="26">
        <v>2</v>
      </c>
      <c r="H27" s="27">
        <v>2</v>
      </c>
      <c r="I27" s="9">
        <v>2</v>
      </c>
      <c r="J27" s="27">
        <v>1</v>
      </c>
      <c r="K27" s="27">
        <v>1</v>
      </c>
      <c r="L27" s="27">
        <v>0</v>
      </c>
      <c r="M27" s="27">
        <v>2</v>
      </c>
      <c r="N27" s="27">
        <v>1</v>
      </c>
      <c r="O27" s="27">
        <v>1</v>
      </c>
      <c r="P27" s="27">
        <v>1</v>
      </c>
    </row>
    <row r="28" spans="2:16" ht="38.25" x14ac:dyDescent="0.2">
      <c r="B28" s="25">
        <v>27</v>
      </c>
      <c r="C28" s="39" t="s">
        <v>87</v>
      </c>
      <c r="D28" s="34" t="s">
        <v>95</v>
      </c>
      <c r="E28" s="31" t="s">
        <v>102</v>
      </c>
      <c r="F28" s="31" t="s">
        <v>13</v>
      </c>
      <c r="G28" s="26">
        <v>2</v>
      </c>
      <c r="H28" s="27">
        <v>2</v>
      </c>
      <c r="I28" s="9">
        <v>2</v>
      </c>
      <c r="J28" s="27">
        <v>2</v>
      </c>
      <c r="K28" s="27">
        <v>2</v>
      </c>
      <c r="L28" s="27">
        <v>0</v>
      </c>
      <c r="M28" s="27">
        <v>2</v>
      </c>
      <c r="N28" s="27">
        <v>2</v>
      </c>
      <c r="O28" s="27">
        <v>1</v>
      </c>
      <c r="P28" s="27">
        <v>2</v>
      </c>
    </row>
    <row r="29" spans="2:16" ht="38.25" x14ac:dyDescent="0.2">
      <c r="B29" s="25">
        <v>28</v>
      </c>
      <c r="C29" s="39" t="s">
        <v>87</v>
      </c>
      <c r="D29" s="34" t="s">
        <v>95</v>
      </c>
      <c r="E29" s="31" t="s">
        <v>103</v>
      </c>
      <c r="F29" s="31" t="s">
        <v>13</v>
      </c>
      <c r="G29" s="26">
        <v>2</v>
      </c>
      <c r="H29" s="27">
        <v>2</v>
      </c>
      <c r="I29" s="9">
        <v>2</v>
      </c>
      <c r="J29" s="27">
        <v>2</v>
      </c>
      <c r="K29" s="27">
        <v>2</v>
      </c>
      <c r="L29" s="27">
        <v>0</v>
      </c>
      <c r="M29" s="27">
        <v>2</v>
      </c>
      <c r="N29" s="27">
        <v>2</v>
      </c>
      <c r="O29" s="27">
        <v>1</v>
      </c>
      <c r="P29" s="27">
        <v>2</v>
      </c>
    </row>
    <row r="30" spans="2:16" ht="38.25" x14ac:dyDescent="0.2">
      <c r="B30" s="25">
        <v>29</v>
      </c>
      <c r="C30" s="39" t="s">
        <v>87</v>
      </c>
      <c r="D30" s="34" t="s">
        <v>95</v>
      </c>
      <c r="E30" s="31" t="s">
        <v>104</v>
      </c>
      <c r="F30" s="31" t="s">
        <v>13</v>
      </c>
      <c r="G30" s="26">
        <v>2</v>
      </c>
      <c r="H30" s="27">
        <v>2</v>
      </c>
      <c r="I30" s="9">
        <v>2</v>
      </c>
      <c r="J30" s="27">
        <v>2</v>
      </c>
      <c r="K30" s="27">
        <v>0</v>
      </c>
      <c r="L30" s="27">
        <v>0</v>
      </c>
      <c r="M30" s="27">
        <v>2</v>
      </c>
      <c r="N30" s="27">
        <v>2</v>
      </c>
      <c r="O30" s="27">
        <v>1</v>
      </c>
      <c r="P30" s="27">
        <v>1</v>
      </c>
    </row>
    <row r="31" spans="2:16" ht="38.25" x14ac:dyDescent="0.2">
      <c r="B31" s="25">
        <v>30</v>
      </c>
      <c r="C31" s="39" t="s">
        <v>87</v>
      </c>
      <c r="D31" s="34" t="s">
        <v>95</v>
      </c>
      <c r="E31" s="31" t="s">
        <v>105</v>
      </c>
      <c r="F31" s="31" t="s">
        <v>13</v>
      </c>
      <c r="G31" s="26">
        <v>2</v>
      </c>
      <c r="H31" s="27">
        <v>2</v>
      </c>
      <c r="I31" s="9">
        <v>2</v>
      </c>
      <c r="J31" s="27">
        <v>2</v>
      </c>
      <c r="K31" s="27">
        <v>0</v>
      </c>
      <c r="L31" s="27">
        <v>0</v>
      </c>
      <c r="M31" s="27">
        <v>2</v>
      </c>
      <c r="N31" s="27">
        <v>0</v>
      </c>
      <c r="O31" s="27">
        <v>1</v>
      </c>
      <c r="P31" s="27">
        <v>2</v>
      </c>
    </row>
    <row r="32" spans="2:16" ht="51" x14ac:dyDescent="0.2">
      <c r="B32" s="25">
        <v>31</v>
      </c>
      <c r="C32" s="39" t="s">
        <v>87</v>
      </c>
      <c r="D32" s="34" t="s">
        <v>95</v>
      </c>
      <c r="E32" s="31" t="s">
        <v>106</v>
      </c>
      <c r="F32" s="31" t="s">
        <v>13</v>
      </c>
      <c r="G32" s="26">
        <v>2</v>
      </c>
      <c r="H32" s="27">
        <v>2</v>
      </c>
      <c r="I32" s="9">
        <v>2</v>
      </c>
      <c r="J32" s="27">
        <v>2</v>
      </c>
      <c r="K32" s="27">
        <v>0</v>
      </c>
      <c r="L32" s="27">
        <v>0</v>
      </c>
      <c r="M32" s="27">
        <v>1</v>
      </c>
      <c r="N32" s="27">
        <v>0</v>
      </c>
      <c r="O32" s="27">
        <v>1</v>
      </c>
      <c r="P32" s="27">
        <v>1</v>
      </c>
    </row>
    <row r="33" spans="2:16" ht="51" x14ac:dyDescent="0.2">
      <c r="B33" s="25">
        <v>32</v>
      </c>
      <c r="C33" s="39" t="s">
        <v>87</v>
      </c>
      <c r="D33" s="34" t="s">
        <v>95</v>
      </c>
      <c r="E33" s="31" t="s">
        <v>107</v>
      </c>
      <c r="F33" s="31" t="s">
        <v>13</v>
      </c>
      <c r="G33" s="26">
        <v>2</v>
      </c>
      <c r="H33" s="27">
        <v>2</v>
      </c>
      <c r="I33" s="9">
        <v>2</v>
      </c>
      <c r="J33" s="27">
        <v>2</v>
      </c>
      <c r="K33" s="27">
        <v>1</v>
      </c>
      <c r="L33" s="27">
        <v>0</v>
      </c>
      <c r="M33" s="27">
        <v>1</v>
      </c>
      <c r="N33" s="27">
        <v>1</v>
      </c>
      <c r="O33" s="27">
        <v>1</v>
      </c>
      <c r="P33" s="27">
        <v>1</v>
      </c>
    </row>
    <row r="34" spans="2:16" ht="51" x14ac:dyDescent="0.2">
      <c r="B34" s="25">
        <v>33</v>
      </c>
      <c r="C34" s="39" t="s">
        <v>87</v>
      </c>
      <c r="D34" s="34" t="s">
        <v>95</v>
      </c>
      <c r="E34" s="31" t="s">
        <v>108</v>
      </c>
      <c r="F34" s="31" t="s">
        <v>13</v>
      </c>
      <c r="G34" s="26">
        <v>2</v>
      </c>
      <c r="H34" s="27">
        <v>2</v>
      </c>
      <c r="I34" s="9">
        <v>2</v>
      </c>
      <c r="J34" s="27">
        <v>2</v>
      </c>
      <c r="K34" s="27">
        <v>0</v>
      </c>
      <c r="L34" s="27">
        <v>1</v>
      </c>
      <c r="M34" s="27">
        <v>1</v>
      </c>
      <c r="N34" s="27">
        <v>2</v>
      </c>
      <c r="O34" s="27">
        <v>1</v>
      </c>
      <c r="P34" s="27">
        <v>1</v>
      </c>
    </row>
    <row r="35" spans="2:16" ht="51" x14ac:dyDescent="0.2">
      <c r="B35" s="25">
        <v>34</v>
      </c>
      <c r="C35" s="39" t="s">
        <v>87</v>
      </c>
      <c r="D35" s="34" t="s">
        <v>95</v>
      </c>
      <c r="E35" s="31" t="s">
        <v>109</v>
      </c>
      <c r="F35" s="31" t="s">
        <v>13</v>
      </c>
      <c r="G35" s="26">
        <v>2</v>
      </c>
      <c r="H35" s="27">
        <v>2</v>
      </c>
      <c r="I35" s="9">
        <v>1</v>
      </c>
      <c r="J35" s="27">
        <v>2</v>
      </c>
      <c r="K35" s="27">
        <v>1</v>
      </c>
      <c r="L35" s="27">
        <v>0</v>
      </c>
      <c r="M35" s="27">
        <v>2</v>
      </c>
      <c r="N35" s="27">
        <v>2</v>
      </c>
      <c r="O35" s="27">
        <v>1</v>
      </c>
      <c r="P35" s="27">
        <v>2</v>
      </c>
    </row>
    <row r="36" spans="2:16" ht="51" x14ac:dyDescent="0.2">
      <c r="B36" s="25">
        <v>35</v>
      </c>
      <c r="C36" s="39" t="s">
        <v>87</v>
      </c>
      <c r="D36" s="34" t="s">
        <v>95</v>
      </c>
      <c r="E36" s="31" t="s">
        <v>110</v>
      </c>
      <c r="F36" s="31" t="s">
        <v>13</v>
      </c>
      <c r="G36" s="26">
        <v>2</v>
      </c>
      <c r="H36" s="27">
        <v>2</v>
      </c>
      <c r="I36" s="9">
        <v>1</v>
      </c>
      <c r="J36" s="27">
        <v>2</v>
      </c>
      <c r="K36" s="27">
        <v>1</v>
      </c>
      <c r="L36" s="27">
        <v>0</v>
      </c>
      <c r="M36" s="27">
        <v>1</v>
      </c>
      <c r="N36" s="27">
        <v>2</v>
      </c>
      <c r="O36" s="27">
        <v>1</v>
      </c>
      <c r="P36" s="27">
        <v>1</v>
      </c>
    </row>
    <row r="37" spans="2:16" ht="51" x14ac:dyDescent="0.2">
      <c r="B37" s="25">
        <v>36</v>
      </c>
      <c r="C37" s="39" t="s">
        <v>87</v>
      </c>
      <c r="D37" s="34" t="s">
        <v>95</v>
      </c>
      <c r="E37" s="31" t="s">
        <v>111</v>
      </c>
      <c r="F37" s="31" t="s">
        <v>13</v>
      </c>
      <c r="G37" s="26">
        <v>2</v>
      </c>
      <c r="H37" s="27">
        <v>2</v>
      </c>
      <c r="I37" s="9">
        <v>1</v>
      </c>
      <c r="J37" s="27">
        <v>2</v>
      </c>
      <c r="K37" s="27">
        <v>2</v>
      </c>
      <c r="L37" s="27">
        <v>0</v>
      </c>
      <c r="M37" s="27">
        <v>2</v>
      </c>
      <c r="N37" s="27">
        <v>2</v>
      </c>
      <c r="O37" s="27">
        <v>1</v>
      </c>
      <c r="P37" s="27">
        <v>2</v>
      </c>
    </row>
    <row r="38" spans="2:16" ht="38.25" x14ac:dyDescent="0.2">
      <c r="B38" s="25">
        <v>37</v>
      </c>
      <c r="C38" s="39" t="s">
        <v>87</v>
      </c>
      <c r="D38" s="34" t="s">
        <v>95</v>
      </c>
      <c r="E38" s="31" t="s">
        <v>112</v>
      </c>
      <c r="F38" s="31" t="s">
        <v>13</v>
      </c>
      <c r="G38" s="26">
        <v>2</v>
      </c>
      <c r="H38" s="27">
        <v>2</v>
      </c>
      <c r="I38" s="9">
        <v>0</v>
      </c>
      <c r="J38" s="27">
        <v>2</v>
      </c>
      <c r="K38" s="27">
        <v>1</v>
      </c>
      <c r="L38" s="27">
        <v>0</v>
      </c>
      <c r="M38" s="27">
        <v>1</v>
      </c>
      <c r="N38" s="27">
        <v>1</v>
      </c>
      <c r="O38" s="27">
        <v>1</v>
      </c>
      <c r="P38" s="27">
        <v>1</v>
      </c>
    </row>
    <row r="39" spans="2:16" ht="76.5" x14ac:dyDescent="0.2">
      <c r="B39" s="25">
        <v>38</v>
      </c>
      <c r="C39" s="39" t="s">
        <v>87</v>
      </c>
      <c r="D39" s="34" t="s">
        <v>113</v>
      </c>
      <c r="E39" s="31" t="s">
        <v>114</v>
      </c>
      <c r="F39" s="31" t="s">
        <v>13</v>
      </c>
      <c r="G39" s="26">
        <v>2</v>
      </c>
      <c r="H39" s="27">
        <v>1</v>
      </c>
      <c r="I39" s="9">
        <v>0</v>
      </c>
      <c r="J39" s="27">
        <v>1</v>
      </c>
      <c r="K39" s="27">
        <v>0</v>
      </c>
      <c r="L39" s="27">
        <v>0</v>
      </c>
      <c r="M39" s="27">
        <v>2</v>
      </c>
      <c r="N39" s="27">
        <v>0</v>
      </c>
      <c r="O39" s="27">
        <v>0</v>
      </c>
      <c r="P39" s="27">
        <v>1</v>
      </c>
    </row>
    <row r="40" spans="2:16" ht="38.25" x14ac:dyDescent="0.2">
      <c r="B40" s="25">
        <v>39</v>
      </c>
      <c r="C40" s="39" t="s">
        <v>87</v>
      </c>
      <c r="D40" s="34" t="s">
        <v>113</v>
      </c>
      <c r="E40" s="31" t="s">
        <v>115</v>
      </c>
      <c r="F40" s="31" t="s">
        <v>13</v>
      </c>
      <c r="G40" s="26">
        <v>2</v>
      </c>
      <c r="H40" s="27">
        <v>1</v>
      </c>
      <c r="I40" s="9">
        <v>2</v>
      </c>
      <c r="J40" s="27">
        <v>0</v>
      </c>
      <c r="K40" s="27">
        <v>0</v>
      </c>
      <c r="L40" s="27">
        <v>0</v>
      </c>
      <c r="M40" s="27">
        <v>2</v>
      </c>
      <c r="N40" s="27">
        <v>0</v>
      </c>
      <c r="O40" s="27">
        <v>0</v>
      </c>
      <c r="P40" s="27">
        <v>1</v>
      </c>
    </row>
    <row r="41" spans="2:16" ht="38.25" x14ac:dyDescent="0.2">
      <c r="B41" s="25">
        <v>40</v>
      </c>
      <c r="C41" s="39" t="s">
        <v>87</v>
      </c>
      <c r="D41" s="34" t="s">
        <v>113</v>
      </c>
      <c r="E41" s="31" t="s">
        <v>116</v>
      </c>
      <c r="F41" s="31" t="s">
        <v>13</v>
      </c>
      <c r="G41" s="26">
        <v>2</v>
      </c>
      <c r="H41" s="27">
        <v>0</v>
      </c>
      <c r="I41" s="9">
        <v>1</v>
      </c>
      <c r="J41" s="27">
        <v>0</v>
      </c>
      <c r="K41" s="27">
        <v>0</v>
      </c>
      <c r="L41" s="27">
        <v>0</v>
      </c>
      <c r="M41" s="27">
        <v>2</v>
      </c>
      <c r="N41" s="27">
        <v>0</v>
      </c>
      <c r="O41" s="27">
        <v>0</v>
      </c>
      <c r="P41" s="27">
        <v>1</v>
      </c>
    </row>
    <row r="42" spans="2:16" ht="51" x14ac:dyDescent="0.2">
      <c r="B42" s="25">
        <v>41</v>
      </c>
      <c r="C42" s="39" t="s">
        <v>87</v>
      </c>
      <c r="D42" s="34" t="s">
        <v>113</v>
      </c>
      <c r="E42" s="31" t="s">
        <v>117</v>
      </c>
      <c r="F42" s="31" t="s">
        <v>13</v>
      </c>
      <c r="G42" s="26">
        <v>2</v>
      </c>
      <c r="H42" s="27">
        <v>2</v>
      </c>
      <c r="I42" s="9">
        <v>1</v>
      </c>
      <c r="J42" s="27">
        <v>1</v>
      </c>
      <c r="K42" s="27">
        <v>0</v>
      </c>
      <c r="L42" s="27">
        <v>0</v>
      </c>
      <c r="M42" s="27">
        <v>2</v>
      </c>
      <c r="N42" s="27">
        <v>1</v>
      </c>
      <c r="O42" s="27">
        <v>0</v>
      </c>
      <c r="P42" s="27">
        <v>1</v>
      </c>
    </row>
    <row r="43" spans="2:16" ht="38.25" x14ac:dyDescent="0.2">
      <c r="B43" s="25">
        <v>42</v>
      </c>
      <c r="C43" s="39" t="s">
        <v>87</v>
      </c>
      <c r="D43" s="34" t="s">
        <v>113</v>
      </c>
      <c r="E43" s="31" t="s">
        <v>118</v>
      </c>
      <c r="F43" s="31" t="s">
        <v>13</v>
      </c>
      <c r="G43" s="26">
        <v>2</v>
      </c>
      <c r="H43" s="27">
        <v>2</v>
      </c>
      <c r="I43" s="9">
        <v>0</v>
      </c>
      <c r="J43" s="27">
        <v>1</v>
      </c>
      <c r="K43" s="27">
        <v>0</v>
      </c>
      <c r="L43" s="27">
        <v>0</v>
      </c>
      <c r="M43" s="27">
        <v>2</v>
      </c>
      <c r="N43" s="27">
        <v>1</v>
      </c>
      <c r="O43" s="27">
        <v>0</v>
      </c>
      <c r="P43" s="27">
        <v>1</v>
      </c>
    </row>
    <row r="44" spans="2:16" ht="38.25" x14ac:dyDescent="0.2">
      <c r="B44" s="25">
        <v>43</v>
      </c>
      <c r="C44" s="39" t="s">
        <v>87</v>
      </c>
      <c r="D44" s="34" t="s">
        <v>113</v>
      </c>
      <c r="E44" s="31" t="s">
        <v>119</v>
      </c>
      <c r="F44" s="31" t="s">
        <v>13</v>
      </c>
      <c r="G44" s="26">
        <v>2</v>
      </c>
      <c r="H44" s="27">
        <v>2</v>
      </c>
      <c r="I44" s="9">
        <v>1</v>
      </c>
      <c r="J44" s="27">
        <v>1</v>
      </c>
      <c r="K44" s="27">
        <v>0</v>
      </c>
      <c r="L44" s="27">
        <v>0</v>
      </c>
      <c r="M44" s="27">
        <v>2</v>
      </c>
      <c r="N44" s="27">
        <v>0</v>
      </c>
      <c r="O44" s="27">
        <v>0</v>
      </c>
      <c r="P44" s="27">
        <v>1</v>
      </c>
    </row>
    <row r="45" spans="2:16" ht="38.25" x14ac:dyDescent="0.2">
      <c r="B45" s="25">
        <v>44</v>
      </c>
      <c r="C45" s="39" t="s">
        <v>87</v>
      </c>
      <c r="D45" s="34" t="s">
        <v>113</v>
      </c>
      <c r="E45" s="31" t="s">
        <v>120</v>
      </c>
      <c r="F45" s="31" t="s">
        <v>13</v>
      </c>
      <c r="G45" s="26">
        <v>2</v>
      </c>
      <c r="H45" s="27">
        <v>2</v>
      </c>
      <c r="I45" s="9">
        <v>2</v>
      </c>
      <c r="J45" s="27">
        <v>2</v>
      </c>
      <c r="K45" s="27">
        <v>0</v>
      </c>
      <c r="L45" s="27">
        <v>0</v>
      </c>
      <c r="M45" s="27">
        <v>2</v>
      </c>
      <c r="N45" s="27">
        <v>0</v>
      </c>
      <c r="O45" s="27">
        <v>0</v>
      </c>
      <c r="P45" s="27">
        <v>1</v>
      </c>
    </row>
    <row r="46" spans="2:16" ht="38.25" x14ac:dyDescent="0.2">
      <c r="B46" s="25">
        <v>45</v>
      </c>
      <c r="C46" s="39" t="s">
        <v>87</v>
      </c>
      <c r="D46" s="34" t="s">
        <v>113</v>
      </c>
      <c r="E46" s="31" t="s">
        <v>121</v>
      </c>
      <c r="F46" s="31" t="s">
        <v>13</v>
      </c>
      <c r="G46" s="26">
        <v>2</v>
      </c>
      <c r="H46" s="27">
        <v>2</v>
      </c>
      <c r="I46" s="9">
        <v>2</v>
      </c>
      <c r="J46" s="27">
        <v>2</v>
      </c>
      <c r="K46" s="27">
        <v>0</v>
      </c>
      <c r="L46" s="27">
        <v>0</v>
      </c>
      <c r="M46" s="27">
        <v>2</v>
      </c>
      <c r="N46" s="27">
        <v>0</v>
      </c>
      <c r="O46" s="27">
        <v>0</v>
      </c>
      <c r="P46" s="27">
        <v>1</v>
      </c>
    </row>
    <row r="47" spans="2:16" ht="38.25" x14ac:dyDescent="0.2">
      <c r="B47" s="25">
        <v>46</v>
      </c>
      <c r="C47" s="39" t="s">
        <v>87</v>
      </c>
      <c r="D47" s="34" t="s">
        <v>113</v>
      </c>
      <c r="E47" s="31" t="s">
        <v>122</v>
      </c>
      <c r="F47" s="31" t="s">
        <v>13</v>
      </c>
      <c r="G47" s="26">
        <v>2</v>
      </c>
      <c r="H47" s="27">
        <v>2</v>
      </c>
      <c r="I47" s="9">
        <v>2</v>
      </c>
      <c r="J47" s="27">
        <v>2</v>
      </c>
      <c r="K47" s="27">
        <v>0</v>
      </c>
      <c r="L47" s="27">
        <v>0</v>
      </c>
      <c r="M47" s="27">
        <v>2</v>
      </c>
      <c r="N47" s="27">
        <v>0</v>
      </c>
      <c r="O47" s="27">
        <v>0</v>
      </c>
      <c r="P47" s="27">
        <v>1</v>
      </c>
    </row>
    <row r="48" spans="2:16" ht="38.25" x14ac:dyDescent="0.2">
      <c r="B48" s="25">
        <v>47</v>
      </c>
      <c r="C48" s="39" t="s">
        <v>87</v>
      </c>
      <c r="D48" s="34" t="s">
        <v>123</v>
      </c>
      <c r="E48" s="31" t="s">
        <v>124</v>
      </c>
      <c r="F48" s="31" t="s">
        <v>13</v>
      </c>
      <c r="G48" s="26">
        <v>2</v>
      </c>
      <c r="H48" s="27">
        <v>2</v>
      </c>
      <c r="I48" s="9">
        <v>2</v>
      </c>
      <c r="J48" s="27">
        <v>2</v>
      </c>
      <c r="K48" s="27">
        <v>0</v>
      </c>
      <c r="L48" s="27">
        <v>0</v>
      </c>
      <c r="M48" s="27">
        <v>1</v>
      </c>
      <c r="N48" s="27">
        <v>1</v>
      </c>
      <c r="O48" s="27">
        <v>1</v>
      </c>
      <c r="P48" s="27">
        <v>1</v>
      </c>
    </row>
    <row r="49" spans="2:16" ht="38.25" x14ac:dyDescent="0.2">
      <c r="B49" s="25">
        <v>48</v>
      </c>
      <c r="C49" s="39" t="s">
        <v>87</v>
      </c>
      <c r="D49" s="34" t="s">
        <v>123</v>
      </c>
      <c r="E49" s="31" t="s">
        <v>125</v>
      </c>
      <c r="F49" s="31" t="s">
        <v>13</v>
      </c>
      <c r="G49" s="26">
        <v>2</v>
      </c>
      <c r="H49" s="27">
        <v>2</v>
      </c>
      <c r="I49" s="9">
        <v>1</v>
      </c>
      <c r="J49" s="27">
        <v>2</v>
      </c>
      <c r="K49" s="27">
        <v>1</v>
      </c>
      <c r="L49" s="27">
        <v>0</v>
      </c>
      <c r="M49" s="27">
        <v>2</v>
      </c>
      <c r="N49" s="27">
        <v>2</v>
      </c>
      <c r="O49" s="27">
        <v>1</v>
      </c>
      <c r="P49" s="27">
        <v>1</v>
      </c>
    </row>
    <row r="50" spans="2:16" ht="38.25" x14ac:dyDescent="0.2">
      <c r="B50" s="25">
        <v>49</v>
      </c>
      <c r="C50" s="39" t="s">
        <v>87</v>
      </c>
      <c r="D50" s="34" t="s">
        <v>123</v>
      </c>
      <c r="E50" s="31" t="s">
        <v>126</v>
      </c>
      <c r="F50" s="31" t="s">
        <v>13</v>
      </c>
      <c r="G50" s="26">
        <v>2</v>
      </c>
      <c r="H50" s="27">
        <v>2</v>
      </c>
      <c r="I50" s="9">
        <v>2</v>
      </c>
      <c r="J50" s="27">
        <v>2</v>
      </c>
      <c r="K50" s="27">
        <v>0</v>
      </c>
      <c r="L50" s="27">
        <v>0</v>
      </c>
      <c r="M50" s="27">
        <v>2</v>
      </c>
      <c r="N50" s="27">
        <v>2</v>
      </c>
      <c r="O50" s="27">
        <v>1</v>
      </c>
      <c r="P50" s="27">
        <v>1</v>
      </c>
    </row>
    <row r="51" spans="2:16" ht="38.25" x14ac:dyDescent="0.2">
      <c r="B51" s="25">
        <v>50</v>
      </c>
      <c r="C51" s="39" t="s">
        <v>87</v>
      </c>
      <c r="D51" s="34" t="s">
        <v>123</v>
      </c>
      <c r="E51" s="31" t="s">
        <v>127</v>
      </c>
      <c r="F51" s="31" t="s">
        <v>13</v>
      </c>
      <c r="G51" s="26">
        <v>2</v>
      </c>
      <c r="H51" s="27">
        <v>2</v>
      </c>
      <c r="I51" s="9">
        <v>2</v>
      </c>
      <c r="J51" s="27">
        <v>2</v>
      </c>
      <c r="K51" s="27">
        <v>1</v>
      </c>
      <c r="L51" s="27">
        <v>0</v>
      </c>
      <c r="M51" s="27">
        <v>2</v>
      </c>
      <c r="N51" s="27">
        <v>2</v>
      </c>
      <c r="O51" s="27">
        <v>1</v>
      </c>
      <c r="P51" s="27">
        <v>1</v>
      </c>
    </row>
    <row r="52" spans="2:16" ht="38.25" x14ac:dyDescent="0.2">
      <c r="B52" s="25">
        <v>51</v>
      </c>
      <c r="C52" s="39" t="s">
        <v>87</v>
      </c>
      <c r="D52" s="34" t="s">
        <v>123</v>
      </c>
      <c r="E52" s="31" t="s">
        <v>128</v>
      </c>
      <c r="F52" s="31" t="s">
        <v>13</v>
      </c>
      <c r="G52" s="26">
        <v>2</v>
      </c>
      <c r="H52" s="27">
        <v>2</v>
      </c>
      <c r="I52" s="9">
        <v>0</v>
      </c>
      <c r="J52" s="27">
        <v>2</v>
      </c>
      <c r="K52" s="27">
        <v>0</v>
      </c>
      <c r="L52" s="27">
        <v>0</v>
      </c>
      <c r="M52" s="27">
        <v>2</v>
      </c>
      <c r="N52" s="27">
        <v>2</v>
      </c>
      <c r="O52" s="27">
        <v>1</v>
      </c>
      <c r="P52" s="27">
        <v>1</v>
      </c>
    </row>
    <row r="53" spans="2:16" ht="89.25" x14ac:dyDescent="0.2">
      <c r="B53" s="25">
        <v>52</v>
      </c>
      <c r="C53" s="39" t="s">
        <v>87</v>
      </c>
      <c r="D53" s="34" t="s">
        <v>123</v>
      </c>
      <c r="E53" s="31" t="s">
        <v>129</v>
      </c>
      <c r="F53" s="31" t="s">
        <v>13</v>
      </c>
      <c r="G53" s="26">
        <v>2</v>
      </c>
      <c r="H53" s="9">
        <v>1</v>
      </c>
      <c r="I53" s="9">
        <v>1</v>
      </c>
      <c r="J53" s="27">
        <v>1</v>
      </c>
      <c r="K53" s="27">
        <v>0</v>
      </c>
      <c r="L53" s="27">
        <v>0</v>
      </c>
      <c r="M53" s="27">
        <v>2</v>
      </c>
      <c r="N53" s="27">
        <v>1</v>
      </c>
      <c r="O53" s="27">
        <v>1</v>
      </c>
      <c r="P53" s="27">
        <v>1</v>
      </c>
    </row>
    <row r="54" spans="2:16" ht="38.25" x14ac:dyDescent="0.2">
      <c r="B54" s="25">
        <v>53</v>
      </c>
      <c r="C54" s="39" t="s">
        <v>87</v>
      </c>
      <c r="D54" s="34" t="s">
        <v>123</v>
      </c>
      <c r="E54" s="31" t="s">
        <v>130</v>
      </c>
      <c r="F54" s="31" t="s">
        <v>13</v>
      </c>
      <c r="G54" s="26">
        <v>2</v>
      </c>
      <c r="H54" s="9">
        <v>2</v>
      </c>
      <c r="I54" s="9">
        <v>0</v>
      </c>
      <c r="J54" s="27">
        <v>2</v>
      </c>
      <c r="K54" s="27">
        <v>0</v>
      </c>
      <c r="L54" s="27">
        <v>0</v>
      </c>
      <c r="M54" s="27">
        <v>2</v>
      </c>
      <c r="N54" s="27">
        <v>2</v>
      </c>
      <c r="O54" s="27">
        <v>1</v>
      </c>
      <c r="P54" s="27">
        <v>2</v>
      </c>
    </row>
    <row r="55" spans="2:16" ht="38.25" x14ac:dyDescent="0.2">
      <c r="B55" s="25">
        <v>54</v>
      </c>
      <c r="C55" s="39" t="s">
        <v>87</v>
      </c>
      <c r="D55" s="34" t="s">
        <v>123</v>
      </c>
      <c r="E55" s="31" t="s">
        <v>131</v>
      </c>
      <c r="F55" s="31" t="s">
        <v>13</v>
      </c>
      <c r="G55" s="26">
        <v>2</v>
      </c>
      <c r="H55" s="9">
        <v>1</v>
      </c>
      <c r="I55" s="9">
        <v>1</v>
      </c>
      <c r="J55" s="27">
        <v>1</v>
      </c>
      <c r="K55" s="27">
        <v>0</v>
      </c>
      <c r="L55" s="27">
        <v>0</v>
      </c>
      <c r="M55" s="27">
        <v>2</v>
      </c>
      <c r="N55" s="27">
        <v>0</v>
      </c>
      <c r="O55" s="27">
        <v>1</v>
      </c>
      <c r="P55" s="27">
        <v>1</v>
      </c>
    </row>
    <row r="56" spans="2:16" ht="38.25" x14ac:dyDescent="0.2">
      <c r="B56" s="25">
        <v>55</v>
      </c>
      <c r="C56" s="39" t="s">
        <v>87</v>
      </c>
      <c r="D56" s="34" t="s">
        <v>123</v>
      </c>
      <c r="E56" s="31" t="s">
        <v>132</v>
      </c>
      <c r="F56" s="31" t="s">
        <v>13</v>
      </c>
      <c r="G56" s="26">
        <v>2</v>
      </c>
      <c r="H56" s="9">
        <v>2</v>
      </c>
      <c r="I56" s="9">
        <v>1</v>
      </c>
      <c r="J56" s="27">
        <v>2</v>
      </c>
      <c r="K56" s="27">
        <v>0</v>
      </c>
      <c r="L56" s="27">
        <v>0</v>
      </c>
      <c r="M56" s="27">
        <v>2</v>
      </c>
      <c r="N56" s="27">
        <v>2</v>
      </c>
      <c r="O56" s="27">
        <v>1</v>
      </c>
      <c r="P56" s="27">
        <v>1</v>
      </c>
    </row>
    <row r="57" spans="2:16" ht="51" x14ac:dyDescent="0.2">
      <c r="B57" s="25">
        <v>56</v>
      </c>
      <c r="C57" s="39" t="s">
        <v>87</v>
      </c>
      <c r="D57" s="34" t="s">
        <v>123</v>
      </c>
      <c r="E57" s="31" t="s">
        <v>133</v>
      </c>
      <c r="F57" s="31" t="s">
        <v>13</v>
      </c>
      <c r="G57" s="26">
        <v>2</v>
      </c>
      <c r="H57" s="9">
        <v>1</v>
      </c>
      <c r="I57" s="9">
        <v>1</v>
      </c>
      <c r="J57" s="27">
        <v>1</v>
      </c>
      <c r="K57" s="27">
        <v>0</v>
      </c>
      <c r="L57" s="27">
        <v>0</v>
      </c>
      <c r="M57" s="27">
        <v>1</v>
      </c>
      <c r="N57" s="27">
        <v>0</v>
      </c>
      <c r="O57" s="27">
        <v>1</v>
      </c>
      <c r="P57" s="27">
        <v>1</v>
      </c>
    </row>
    <row r="58" spans="2:16" ht="38.25" x14ac:dyDescent="0.2">
      <c r="B58" s="25">
        <v>57</v>
      </c>
      <c r="C58" s="39" t="s">
        <v>87</v>
      </c>
      <c r="D58" s="34" t="s">
        <v>123</v>
      </c>
      <c r="E58" s="31" t="s">
        <v>134</v>
      </c>
      <c r="F58" s="31" t="s">
        <v>13</v>
      </c>
      <c r="G58" s="26">
        <v>2</v>
      </c>
      <c r="H58" s="9">
        <v>2</v>
      </c>
      <c r="I58" s="9">
        <v>0</v>
      </c>
      <c r="J58" s="27">
        <v>1</v>
      </c>
      <c r="K58" s="27">
        <v>0</v>
      </c>
      <c r="L58" s="27">
        <v>0</v>
      </c>
      <c r="M58" s="27">
        <v>1</v>
      </c>
      <c r="N58" s="27">
        <v>1</v>
      </c>
      <c r="O58" s="27">
        <v>1</v>
      </c>
      <c r="P58" s="27">
        <v>1</v>
      </c>
    </row>
    <row r="59" spans="2:16" ht="38.25" x14ac:dyDescent="0.2">
      <c r="B59" s="25">
        <v>58</v>
      </c>
      <c r="C59" s="39" t="s">
        <v>87</v>
      </c>
      <c r="D59" s="34" t="s">
        <v>123</v>
      </c>
      <c r="E59" s="31" t="s">
        <v>135</v>
      </c>
      <c r="F59" s="31" t="s">
        <v>13</v>
      </c>
      <c r="G59" s="26">
        <v>2</v>
      </c>
      <c r="H59" s="9">
        <v>0</v>
      </c>
      <c r="I59" s="9">
        <v>1</v>
      </c>
      <c r="J59" s="27">
        <v>1</v>
      </c>
      <c r="K59" s="27">
        <v>0</v>
      </c>
      <c r="L59" s="27">
        <v>0</v>
      </c>
      <c r="M59" s="27">
        <v>1</v>
      </c>
      <c r="N59" s="27">
        <v>0</v>
      </c>
      <c r="O59" s="27">
        <v>1</v>
      </c>
      <c r="P59" s="27">
        <v>1</v>
      </c>
    </row>
    <row r="60" spans="2:16" ht="38.25" x14ac:dyDescent="0.2">
      <c r="B60" s="25">
        <v>59</v>
      </c>
      <c r="C60" s="39" t="s">
        <v>87</v>
      </c>
      <c r="D60" s="34" t="s">
        <v>123</v>
      </c>
      <c r="E60" s="31" t="s">
        <v>136</v>
      </c>
      <c r="F60" s="31" t="s">
        <v>13</v>
      </c>
      <c r="G60" s="26">
        <v>2</v>
      </c>
      <c r="H60" s="9">
        <v>2</v>
      </c>
      <c r="I60" s="9">
        <v>1</v>
      </c>
      <c r="J60" s="27">
        <v>2</v>
      </c>
      <c r="K60" s="27">
        <v>0</v>
      </c>
      <c r="L60" s="27">
        <v>0</v>
      </c>
      <c r="M60" s="27">
        <v>1</v>
      </c>
      <c r="N60" s="27">
        <v>1</v>
      </c>
      <c r="O60" s="27">
        <v>1</v>
      </c>
      <c r="P60" s="27">
        <v>1</v>
      </c>
    </row>
    <row r="61" spans="2:16" ht="38.25" x14ac:dyDescent="0.2">
      <c r="B61" s="25">
        <v>60</v>
      </c>
      <c r="C61" s="39" t="s">
        <v>87</v>
      </c>
      <c r="D61" s="34" t="s">
        <v>123</v>
      </c>
      <c r="E61" s="31" t="s">
        <v>137</v>
      </c>
      <c r="F61" s="31" t="s">
        <v>13</v>
      </c>
      <c r="G61" s="26">
        <v>2</v>
      </c>
      <c r="H61" s="9">
        <v>2</v>
      </c>
      <c r="I61" s="9">
        <v>1</v>
      </c>
      <c r="J61" s="27">
        <v>2</v>
      </c>
      <c r="K61" s="27">
        <v>0</v>
      </c>
      <c r="L61" s="27">
        <v>0</v>
      </c>
      <c r="M61" s="27">
        <v>1</v>
      </c>
      <c r="N61" s="27">
        <v>1</v>
      </c>
      <c r="O61" s="27">
        <v>1</v>
      </c>
      <c r="P61" s="27">
        <v>1</v>
      </c>
    </row>
    <row r="62" spans="2:16" ht="38.25" x14ac:dyDescent="0.2">
      <c r="B62" s="25">
        <v>61</v>
      </c>
      <c r="C62" s="39" t="s">
        <v>87</v>
      </c>
      <c r="D62" s="34" t="s">
        <v>123</v>
      </c>
      <c r="E62" s="31" t="s">
        <v>138</v>
      </c>
      <c r="F62" s="31" t="s">
        <v>13</v>
      </c>
      <c r="G62" s="26">
        <v>2</v>
      </c>
      <c r="H62" s="9">
        <v>1</v>
      </c>
      <c r="I62" s="9">
        <v>0</v>
      </c>
      <c r="J62" s="27">
        <v>1</v>
      </c>
      <c r="K62" s="27">
        <v>0</v>
      </c>
      <c r="L62" s="27">
        <v>0</v>
      </c>
      <c r="M62" s="27">
        <v>1</v>
      </c>
      <c r="N62" s="27">
        <v>0</v>
      </c>
      <c r="O62" s="27">
        <v>1</v>
      </c>
      <c r="P62" s="27">
        <v>1</v>
      </c>
    </row>
    <row r="63" spans="2:16" ht="38.25" x14ac:dyDescent="0.2">
      <c r="B63" s="25">
        <v>62</v>
      </c>
      <c r="C63" s="39" t="s">
        <v>87</v>
      </c>
      <c r="D63" s="34" t="s">
        <v>123</v>
      </c>
      <c r="E63" s="31" t="s">
        <v>139</v>
      </c>
      <c r="F63" s="31" t="s">
        <v>13</v>
      </c>
      <c r="G63" s="26">
        <v>2</v>
      </c>
      <c r="H63" s="9">
        <v>2</v>
      </c>
      <c r="I63" s="9">
        <v>0</v>
      </c>
      <c r="J63" s="27">
        <v>2</v>
      </c>
      <c r="K63" s="27">
        <v>0</v>
      </c>
      <c r="L63" s="27">
        <v>0</v>
      </c>
      <c r="M63" s="27">
        <v>1</v>
      </c>
      <c r="N63" s="27">
        <v>1</v>
      </c>
      <c r="O63" s="27">
        <v>1</v>
      </c>
      <c r="P63" s="27">
        <v>1</v>
      </c>
    </row>
    <row r="64" spans="2:16" ht="38.25" x14ac:dyDescent="0.2">
      <c r="B64" s="25">
        <v>63</v>
      </c>
      <c r="C64" s="39" t="s">
        <v>87</v>
      </c>
      <c r="D64" s="34" t="s">
        <v>123</v>
      </c>
      <c r="E64" s="31" t="s">
        <v>140</v>
      </c>
      <c r="F64" s="31" t="s">
        <v>13</v>
      </c>
      <c r="G64" s="26">
        <v>2</v>
      </c>
      <c r="H64" s="9">
        <v>2</v>
      </c>
      <c r="I64" s="9">
        <v>1</v>
      </c>
      <c r="J64" s="27">
        <v>2</v>
      </c>
      <c r="K64" s="27">
        <v>0</v>
      </c>
      <c r="L64" s="27">
        <v>0</v>
      </c>
      <c r="M64" s="27">
        <v>1</v>
      </c>
      <c r="N64" s="27">
        <v>1</v>
      </c>
      <c r="O64" s="27">
        <v>1</v>
      </c>
      <c r="P64" s="27">
        <v>2</v>
      </c>
    </row>
    <row r="65" spans="2:16" ht="38.25" x14ac:dyDescent="0.2">
      <c r="B65" s="25">
        <v>64</v>
      </c>
      <c r="C65" s="39" t="s">
        <v>87</v>
      </c>
      <c r="D65" s="34" t="s">
        <v>123</v>
      </c>
      <c r="E65" s="31" t="s">
        <v>141</v>
      </c>
      <c r="F65" s="31" t="s">
        <v>13</v>
      </c>
      <c r="G65" s="26">
        <v>2</v>
      </c>
      <c r="H65" s="9">
        <v>2</v>
      </c>
      <c r="I65" s="9">
        <v>2</v>
      </c>
      <c r="J65" s="27">
        <v>2</v>
      </c>
      <c r="K65" s="27">
        <v>0</v>
      </c>
      <c r="L65" s="27">
        <v>0</v>
      </c>
      <c r="M65" s="27">
        <v>1</v>
      </c>
      <c r="N65" s="27">
        <v>2</v>
      </c>
      <c r="O65" s="27">
        <v>1</v>
      </c>
      <c r="P65" s="27">
        <v>2</v>
      </c>
    </row>
    <row r="66" spans="2:16" ht="38.25" x14ac:dyDescent="0.2">
      <c r="B66" s="25">
        <v>65</v>
      </c>
      <c r="C66" s="39" t="s">
        <v>87</v>
      </c>
      <c r="D66" s="34" t="s">
        <v>123</v>
      </c>
      <c r="E66" s="31" t="s">
        <v>142</v>
      </c>
      <c r="F66" s="31" t="s">
        <v>13</v>
      </c>
      <c r="G66" s="26">
        <v>2</v>
      </c>
      <c r="H66" s="9">
        <v>1</v>
      </c>
      <c r="I66" s="9">
        <v>1</v>
      </c>
      <c r="J66" s="27">
        <v>1</v>
      </c>
      <c r="K66" s="27">
        <v>0</v>
      </c>
      <c r="L66" s="27">
        <v>0</v>
      </c>
      <c r="M66" s="27">
        <v>1</v>
      </c>
      <c r="N66" s="27">
        <v>0</v>
      </c>
      <c r="O66" s="27">
        <v>1</v>
      </c>
      <c r="P66" s="27">
        <v>1</v>
      </c>
    </row>
    <row r="67" spans="2:16" ht="38.25" x14ac:dyDescent="0.2">
      <c r="B67" s="25">
        <v>66</v>
      </c>
      <c r="C67" s="39" t="s">
        <v>87</v>
      </c>
      <c r="D67" s="34" t="s">
        <v>123</v>
      </c>
      <c r="E67" s="31" t="s">
        <v>143</v>
      </c>
      <c r="F67" s="31" t="s">
        <v>13</v>
      </c>
      <c r="G67" s="26">
        <v>2</v>
      </c>
      <c r="H67" s="9">
        <v>2</v>
      </c>
      <c r="I67" s="9">
        <v>0</v>
      </c>
      <c r="J67" s="27">
        <v>2</v>
      </c>
      <c r="K67" s="27">
        <v>0</v>
      </c>
      <c r="L67" s="27">
        <v>0</v>
      </c>
      <c r="M67" s="27">
        <v>2</v>
      </c>
      <c r="N67" s="27">
        <v>2</v>
      </c>
      <c r="O67" s="27">
        <v>1</v>
      </c>
      <c r="P67" s="27">
        <v>1</v>
      </c>
    </row>
    <row r="68" spans="2:16" ht="38.25" x14ac:dyDescent="0.2">
      <c r="B68" s="25">
        <v>67</v>
      </c>
      <c r="C68" s="39" t="s">
        <v>87</v>
      </c>
      <c r="D68" s="34" t="s">
        <v>123</v>
      </c>
      <c r="E68" s="31" t="s">
        <v>144</v>
      </c>
      <c r="F68" s="31" t="s">
        <v>13</v>
      </c>
      <c r="G68" s="26">
        <v>2</v>
      </c>
      <c r="H68" s="9">
        <v>2</v>
      </c>
      <c r="I68" s="9">
        <v>0</v>
      </c>
      <c r="J68" s="27">
        <v>2</v>
      </c>
      <c r="K68" s="27">
        <v>0</v>
      </c>
      <c r="L68" s="27">
        <v>0</v>
      </c>
      <c r="M68" s="27">
        <v>1</v>
      </c>
      <c r="N68" s="27">
        <v>1</v>
      </c>
      <c r="O68" s="27">
        <v>1</v>
      </c>
      <c r="P68" s="27">
        <v>1</v>
      </c>
    </row>
    <row r="69" spans="2:16" ht="38.25" x14ac:dyDescent="0.2">
      <c r="B69" s="25">
        <v>68</v>
      </c>
      <c r="C69" s="39" t="s">
        <v>87</v>
      </c>
      <c r="D69" s="34" t="s">
        <v>123</v>
      </c>
      <c r="E69" s="31" t="s">
        <v>145</v>
      </c>
      <c r="F69" s="31" t="s">
        <v>13</v>
      </c>
      <c r="G69" s="26">
        <v>2</v>
      </c>
      <c r="H69" s="9">
        <v>2</v>
      </c>
      <c r="I69" s="9">
        <v>1</v>
      </c>
      <c r="J69" s="27">
        <v>2</v>
      </c>
      <c r="K69" s="27">
        <v>0</v>
      </c>
      <c r="L69" s="27">
        <v>0</v>
      </c>
      <c r="M69" s="27">
        <v>1</v>
      </c>
      <c r="N69" s="27">
        <v>0</v>
      </c>
      <c r="O69" s="27">
        <v>1</v>
      </c>
      <c r="P69" s="27">
        <v>1</v>
      </c>
    </row>
    <row r="70" spans="2:16" ht="38.25" x14ac:dyDescent="0.2">
      <c r="B70" s="25">
        <v>69</v>
      </c>
      <c r="C70" s="39" t="s">
        <v>87</v>
      </c>
      <c r="D70" s="34" t="s">
        <v>123</v>
      </c>
      <c r="E70" s="31" t="s">
        <v>146</v>
      </c>
      <c r="F70" s="31" t="s">
        <v>13</v>
      </c>
      <c r="G70" s="26">
        <v>2</v>
      </c>
      <c r="H70" s="9">
        <v>2</v>
      </c>
      <c r="I70" s="9">
        <v>1</v>
      </c>
      <c r="J70" s="27">
        <v>2</v>
      </c>
      <c r="K70" s="27">
        <v>0</v>
      </c>
      <c r="L70" s="27">
        <v>0</v>
      </c>
      <c r="M70" s="27">
        <v>1</v>
      </c>
      <c r="N70" s="27">
        <v>1</v>
      </c>
      <c r="O70" s="27">
        <v>1</v>
      </c>
      <c r="P70" s="27">
        <v>1</v>
      </c>
    </row>
    <row r="71" spans="2:16" ht="38.25" x14ac:dyDescent="0.2">
      <c r="B71" s="25">
        <v>70</v>
      </c>
      <c r="C71" s="39" t="s">
        <v>87</v>
      </c>
      <c r="D71" s="34" t="s">
        <v>123</v>
      </c>
      <c r="E71" s="31" t="s">
        <v>147</v>
      </c>
      <c r="F71" s="31" t="s">
        <v>13</v>
      </c>
      <c r="G71" s="26">
        <v>2</v>
      </c>
      <c r="H71" s="9">
        <v>2</v>
      </c>
      <c r="I71" s="9">
        <v>0</v>
      </c>
      <c r="J71" s="27">
        <v>2</v>
      </c>
      <c r="K71" s="27">
        <v>0</v>
      </c>
      <c r="L71" s="27">
        <v>0</v>
      </c>
      <c r="M71" s="27">
        <v>1</v>
      </c>
      <c r="N71" s="27">
        <v>2</v>
      </c>
      <c r="O71" s="27">
        <v>1</v>
      </c>
      <c r="P71" s="27">
        <v>1</v>
      </c>
    </row>
    <row r="72" spans="2:16" ht="38.25" x14ac:dyDescent="0.2">
      <c r="B72" s="25">
        <v>71</v>
      </c>
      <c r="C72" s="39" t="s">
        <v>87</v>
      </c>
      <c r="D72" s="34" t="s">
        <v>123</v>
      </c>
      <c r="E72" s="31" t="s">
        <v>148</v>
      </c>
      <c r="F72" s="31" t="s">
        <v>13</v>
      </c>
      <c r="G72" s="26">
        <v>2</v>
      </c>
      <c r="H72" s="9">
        <v>1</v>
      </c>
      <c r="I72" s="9">
        <v>1</v>
      </c>
      <c r="J72" s="27">
        <v>1</v>
      </c>
      <c r="K72" s="27">
        <v>0</v>
      </c>
      <c r="L72" s="27">
        <v>0</v>
      </c>
      <c r="M72" s="27">
        <v>1</v>
      </c>
      <c r="N72" s="27">
        <v>0</v>
      </c>
      <c r="O72" s="27">
        <v>1</v>
      </c>
      <c r="P72" s="27">
        <v>1</v>
      </c>
    </row>
    <row r="73" spans="2:16" ht="38.25" x14ac:dyDescent="0.2">
      <c r="B73" s="25">
        <v>72</v>
      </c>
      <c r="C73" s="39" t="s">
        <v>87</v>
      </c>
      <c r="D73" s="34" t="s">
        <v>123</v>
      </c>
      <c r="E73" s="31" t="s">
        <v>149</v>
      </c>
      <c r="F73" s="31" t="s">
        <v>13</v>
      </c>
      <c r="G73" s="26">
        <v>2</v>
      </c>
      <c r="H73" s="9">
        <v>2</v>
      </c>
      <c r="I73" s="9">
        <v>0</v>
      </c>
      <c r="J73" s="27">
        <v>2</v>
      </c>
      <c r="K73" s="27">
        <v>0</v>
      </c>
      <c r="L73" s="27">
        <v>0</v>
      </c>
      <c r="M73" s="27">
        <v>2</v>
      </c>
      <c r="N73" s="27">
        <v>1</v>
      </c>
      <c r="O73" s="27">
        <v>1</v>
      </c>
      <c r="P73" s="27">
        <v>1</v>
      </c>
    </row>
    <row r="74" spans="2:16" ht="38.25" x14ac:dyDescent="0.2">
      <c r="B74" s="25">
        <v>73</v>
      </c>
      <c r="C74" s="39" t="s">
        <v>87</v>
      </c>
      <c r="D74" s="34" t="s">
        <v>123</v>
      </c>
      <c r="E74" s="31" t="s">
        <v>150</v>
      </c>
      <c r="F74" s="31" t="s">
        <v>13</v>
      </c>
      <c r="G74" s="26">
        <v>2</v>
      </c>
      <c r="H74" s="9">
        <v>2</v>
      </c>
      <c r="I74" s="9">
        <v>1</v>
      </c>
      <c r="J74" s="27">
        <v>2</v>
      </c>
      <c r="K74" s="27">
        <v>0</v>
      </c>
      <c r="L74" s="27">
        <v>0</v>
      </c>
      <c r="M74" s="27">
        <v>2</v>
      </c>
      <c r="N74" s="27">
        <v>1</v>
      </c>
      <c r="O74" s="27">
        <v>1</v>
      </c>
      <c r="P74" s="27">
        <v>1</v>
      </c>
    </row>
    <row r="75" spans="2:16" ht="114.75" x14ac:dyDescent="0.2">
      <c r="B75" s="25">
        <v>74</v>
      </c>
      <c r="C75" s="39" t="s">
        <v>87</v>
      </c>
      <c r="D75" s="34" t="s">
        <v>123</v>
      </c>
      <c r="E75" s="31" t="s">
        <v>151</v>
      </c>
      <c r="F75" s="31" t="s">
        <v>13</v>
      </c>
      <c r="G75" s="26">
        <v>2</v>
      </c>
      <c r="H75" s="9">
        <v>2</v>
      </c>
      <c r="I75" s="9">
        <v>2</v>
      </c>
      <c r="J75" s="27">
        <v>2</v>
      </c>
      <c r="K75" s="27">
        <v>0</v>
      </c>
      <c r="L75" s="27">
        <v>0</v>
      </c>
      <c r="M75" s="27">
        <v>2</v>
      </c>
      <c r="N75" s="27">
        <v>1</v>
      </c>
      <c r="O75" s="27">
        <v>1</v>
      </c>
      <c r="P75" s="27">
        <v>1</v>
      </c>
    </row>
    <row r="76" spans="2:16" ht="38.25" x14ac:dyDescent="0.2">
      <c r="B76" s="25">
        <v>75</v>
      </c>
      <c r="C76" s="39" t="s">
        <v>87</v>
      </c>
      <c r="D76" s="34" t="s">
        <v>123</v>
      </c>
      <c r="E76" s="31" t="s">
        <v>152</v>
      </c>
      <c r="F76" s="31" t="s">
        <v>13</v>
      </c>
      <c r="G76" s="26">
        <v>2</v>
      </c>
      <c r="H76" s="9">
        <v>2</v>
      </c>
      <c r="I76" s="9">
        <v>1</v>
      </c>
      <c r="J76" s="27">
        <v>2</v>
      </c>
      <c r="K76" s="27">
        <v>0</v>
      </c>
      <c r="L76" s="27">
        <v>0</v>
      </c>
      <c r="M76" s="27">
        <v>2</v>
      </c>
      <c r="N76" s="27">
        <v>2</v>
      </c>
      <c r="O76" s="27">
        <v>1</v>
      </c>
      <c r="P76" s="27">
        <v>1</v>
      </c>
    </row>
    <row r="77" spans="2:16" ht="38.25" x14ac:dyDescent="0.2">
      <c r="B77" s="25">
        <v>76</v>
      </c>
      <c r="C77" s="39" t="s">
        <v>87</v>
      </c>
      <c r="D77" s="34" t="s">
        <v>123</v>
      </c>
      <c r="E77" s="31" t="s">
        <v>153</v>
      </c>
      <c r="F77" s="31" t="s">
        <v>13</v>
      </c>
      <c r="G77" s="26">
        <v>2</v>
      </c>
      <c r="H77" s="9">
        <v>2</v>
      </c>
      <c r="I77" s="9">
        <v>2</v>
      </c>
      <c r="J77" s="27">
        <v>2</v>
      </c>
      <c r="K77" s="27">
        <v>0</v>
      </c>
      <c r="L77" s="27">
        <v>0</v>
      </c>
      <c r="M77" s="27">
        <v>2</v>
      </c>
      <c r="N77" s="27">
        <v>2</v>
      </c>
      <c r="O77" s="27">
        <v>1</v>
      </c>
      <c r="P77" s="27">
        <v>1</v>
      </c>
    </row>
    <row r="78" spans="2:16" ht="38.25" x14ac:dyDescent="0.2">
      <c r="B78" s="25">
        <v>77</v>
      </c>
      <c r="C78" s="39" t="s">
        <v>87</v>
      </c>
      <c r="D78" s="34" t="s">
        <v>123</v>
      </c>
      <c r="E78" s="31" t="s">
        <v>154</v>
      </c>
      <c r="F78" s="31" t="s">
        <v>13</v>
      </c>
      <c r="G78" s="26">
        <v>2</v>
      </c>
      <c r="H78" s="9">
        <v>1</v>
      </c>
      <c r="I78" s="9">
        <v>2</v>
      </c>
      <c r="J78" s="27">
        <v>1</v>
      </c>
      <c r="K78" s="27">
        <v>0</v>
      </c>
      <c r="L78" s="27">
        <v>0</v>
      </c>
      <c r="M78" s="27">
        <v>1</v>
      </c>
      <c r="N78" s="27">
        <v>0</v>
      </c>
      <c r="O78" s="27">
        <v>1</v>
      </c>
      <c r="P78" s="27">
        <v>1</v>
      </c>
    </row>
    <row r="79" spans="2:16" ht="51" x14ac:dyDescent="0.2">
      <c r="B79" s="25">
        <v>78</v>
      </c>
      <c r="C79" s="39" t="s">
        <v>87</v>
      </c>
      <c r="D79" s="34" t="s">
        <v>123</v>
      </c>
      <c r="E79" s="31" t="s">
        <v>155</v>
      </c>
      <c r="F79" s="31" t="s">
        <v>13</v>
      </c>
      <c r="G79" s="26">
        <v>2</v>
      </c>
      <c r="H79" s="9">
        <v>2</v>
      </c>
      <c r="I79" s="9">
        <v>2</v>
      </c>
      <c r="J79" s="27">
        <v>2</v>
      </c>
      <c r="K79" s="27">
        <v>0</v>
      </c>
      <c r="L79" s="27">
        <v>0</v>
      </c>
      <c r="M79" s="27">
        <v>1</v>
      </c>
      <c r="N79" s="27">
        <v>1</v>
      </c>
      <c r="O79" s="27">
        <v>1</v>
      </c>
      <c r="P79" s="27">
        <v>1</v>
      </c>
    </row>
    <row r="80" spans="2:16" ht="38.25" x14ac:dyDescent="0.2">
      <c r="B80" s="25">
        <v>79</v>
      </c>
      <c r="C80" s="39" t="s">
        <v>87</v>
      </c>
      <c r="D80" s="34" t="s">
        <v>123</v>
      </c>
      <c r="E80" s="31" t="s">
        <v>156</v>
      </c>
      <c r="F80" s="31" t="s">
        <v>13</v>
      </c>
      <c r="G80" s="26">
        <v>2</v>
      </c>
      <c r="H80" s="9">
        <v>1</v>
      </c>
      <c r="I80" s="9">
        <v>2</v>
      </c>
      <c r="J80" s="27">
        <v>1</v>
      </c>
      <c r="K80" s="27">
        <v>0</v>
      </c>
      <c r="L80" s="27">
        <v>0</v>
      </c>
      <c r="M80" s="27">
        <v>1</v>
      </c>
      <c r="N80" s="27">
        <v>0</v>
      </c>
      <c r="O80" s="27">
        <v>1</v>
      </c>
      <c r="P80" s="27">
        <v>1</v>
      </c>
    </row>
    <row r="81" spans="2:16" ht="38.25" x14ac:dyDescent="0.2">
      <c r="B81" s="25">
        <v>80</v>
      </c>
      <c r="C81" s="39" t="s">
        <v>87</v>
      </c>
      <c r="D81" s="34" t="s">
        <v>123</v>
      </c>
      <c r="E81" s="31" t="s">
        <v>157</v>
      </c>
      <c r="F81" s="31" t="s">
        <v>13</v>
      </c>
      <c r="G81" s="26">
        <v>2</v>
      </c>
      <c r="H81" s="9">
        <v>1</v>
      </c>
      <c r="I81" s="9">
        <v>2</v>
      </c>
      <c r="J81" s="27">
        <v>1</v>
      </c>
      <c r="K81" s="27">
        <v>0</v>
      </c>
      <c r="L81" s="27">
        <v>0</v>
      </c>
      <c r="M81" s="27">
        <v>1</v>
      </c>
      <c r="N81" s="27">
        <v>1</v>
      </c>
      <c r="O81" s="27">
        <v>1</v>
      </c>
      <c r="P81" s="27">
        <v>1</v>
      </c>
    </row>
    <row r="82" spans="2:16" ht="38.25" x14ac:dyDescent="0.2">
      <c r="B82" s="25">
        <v>81</v>
      </c>
      <c r="C82" s="39" t="s">
        <v>87</v>
      </c>
      <c r="D82" s="34" t="s">
        <v>123</v>
      </c>
      <c r="E82" s="31" t="s">
        <v>158</v>
      </c>
      <c r="F82" s="31" t="s">
        <v>13</v>
      </c>
      <c r="G82" s="26">
        <v>2</v>
      </c>
      <c r="H82" s="9">
        <v>2</v>
      </c>
      <c r="I82" s="9">
        <v>2</v>
      </c>
      <c r="J82" s="27">
        <v>2</v>
      </c>
      <c r="K82" s="27">
        <v>0</v>
      </c>
      <c r="L82" s="27">
        <v>0</v>
      </c>
      <c r="M82" s="27">
        <v>1</v>
      </c>
      <c r="N82" s="27">
        <v>1</v>
      </c>
      <c r="O82" s="27">
        <v>1</v>
      </c>
      <c r="P82" s="27">
        <v>1</v>
      </c>
    </row>
    <row r="83" spans="2:16" ht="38.25" x14ac:dyDescent="0.2">
      <c r="B83" s="25">
        <v>82</v>
      </c>
      <c r="C83" s="39" t="s">
        <v>87</v>
      </c>
      <c r="D83" s="34" t="s">
        <v>123</v>
      </c>
      <c r="E83" s="31" t="s">
        <v>159</v>
      </c>
      <c r="F83" s="31" t="s">
        <v>13</v>
      </c>
      <c r="G83" s="26">
        <v>2</v>
      </c>
      <c r="H83" s="9">
        <v>2</v>
      </c>
      <c r="I83" s="9">
        <v>2</v>
      </c>
      <c r="J83" s="27">
        <v>2</v>
      </c>
      <c r="K83" s="27">
        <v>0</v>
      </c>
      <c r="L83" s="27">
        <v>0</v>
      </c>
      <c r="M83" s="27">
        <v>1</v>
      </c>
      <c r="N83" s="27">
        <v>1</v>
      </c>
      <c r="O83" s="27">
        <v>1</v>
      </c>
      <c r="P83" s="27">
        <v>1</v>
      </c>
    </row>
    <row r="84" spans="2:16" ht="38.25" x14ac:dyDescent="0.2">
      <c r="B84" s="25">
        <v>83</v>
      </c>
      <c r="C84" s="39" t="s">
        <v>87</v>
      </c>
      <c r="D84" s="34" t="s">
        <v>123</v>
      </c>
      <c r="E84" s="31" t="s">
        <v>160</v>
      </c>
      <c r="F84" s="31" t="s">
        <v>13</v>
      </c>
      <c r="G84" s="26">
        <v>2</v>
      </c>
      <c r="H84" s="9">
        <v>2</v>
      </c>
      <c r="I84" s="9">
        <v>2</v>
      </c>
      <c r="J84" s="27">
        <v>2</v>
      </c>
      <c r="K84" s="27">
        <v>0</v>
      </c>
      <c r="L84" s="27">
        <v>0</v>
      </c>
      <c r="M84" s="27">
        <v>1</v>
      </c>
      <c r="N84" s="27">
        <v>2</v>
      </c>
      <c r="O84" s="27">
        <v>1</v>
      </c>
      <c r="P84" s="27">
        <v>1</v>
      </c>
    </row>
    <row r="85" spans="2:16" ht="38.25" x14ac:dyDescent="0.2">
      <c r="B85" s="25">
        <v>84</v>
      </c>
      <c r="C85" s="39" t="s">
        <v>87</v>
      </c>
      <c r="D85" s="34" t="s">
        <v>123</v>
      </c>
      <c r="E85" s="31" t="s">
        <v>161</v>
      </c>
      <c r="F85" s="31" t="s">
        <v>13</v>
      </c>
      <c r="G85" s="26">
        <v>2</v>
      </c>
      <c r="H85" s="9">
        <v>1</v>
      </c>
      <c r="I85" s="9">
        <v>2</v>
      </c>
      <c r="J85" s="27">
        <v>2</v>
      </c>
      <c r="K85" s="27">
        <v>0</v>
      </c>
      <c r="L85" s="27">
        <v>0</v>
      </c>
      <c r="M85" s="27">
        <v>1</v>
      </c>
      <c r="N85" s="27">
        <v>0</v>
      </c>
      <c r="O85" s="27">
        <v>1</v>
      </c>
      <c r="P85" s="27">
        <v>1</v>
      </c>
    </row>
    <row r="86" spans="2:16" ht="38.25" x14ac:dyDescent="0.2">
      <c r="B86" s="25">
        <v>85</v>
      </c>
      <c r="C86" s="39" t="s">
        <v>87</v>
      </c>
      <c r="D86" s="34" t="s">
        <v>123</v>
      </c>
      <c r="E86" s="31" t="s">
        <v>162</v>
      </c>
      <c r="F86" s="31" t="s">
        <v>13</v>
      </c>
      <c r="G86" s="26">
        <v>2</v>
      </c>
      <c r="H86" s="9">
        <v>2</v>
      </c>
      <c r="I86" s="9">
        <v>2</v>
      </c>
      <c r="J86" s="27">
        <v>2</v>
      </c>
      <c r="K86" s="27">
        <v>0</v>
      </c>
      <c r="L86" s="27">
        <v>0</v>
      </c>
      <c r="M86" s="27">
        <v>2</v>
      </c>
      <c r="N86" s="27">
        <v>1</v>
      </c>
      <c r="O86" s="27">
        <v>1</v>
      </c>
      <c r="P86" s="27">
        <v>1</v>
      </c>
    </row>
    <row r="87" spans="2:16" ht="38.25" x14ac:dyDescent="0.2">
      <c r="B87" s="25">
        <v>86</v>
      </c>
      <c r="C87" s="39" t="s">
        <v>87</v>
      </c>
      <c r="D87" s="34" t="s">
        <v>123</v>
      </c>
      <c r="E87" s="31" t="s">
        <v>163</v>
      </c>
      <c r="F87" s="31" t="s">
        <v>13</v>
      </c>
      <c r="G87" s="26">
        <v>2</v>
      </c>
      <c r="H87" s="9">
        <v>2</v>
      </c>
      <c r="I87" s="9">
        <v>2</v>
      </c>
      <c r="J87" s="27">
        <v>2</v>
      </c>
      <c r="K87" s="27">
        <v>0</v>
      </c>
      <c r="L87" s="27">
        <v>0</v>
      </c>
      <c r="M87" s="27">
        <v>1</v>
      </c>
      <c r="N87" s="27">
        <v>2</v>
      </c>
      <c r="O87" s="27">
        <v>1</v>
      </c>
      <c r="P87" s="27">
        <v>1</v>
      </c>
    </row>
    <row r="88" spans="2:16" ht="38.25" x14ac:dyDescent="0.2">
      <c r="B88" s="25">
        <v>87</v>
      </c>
      <c r="C88" s="39" t="s">
        <v>87</v>
      </c>
      <c r="D88" s="34" t="s">
        <v>123</v>
      </c>
      <c r="E88" s="31" t="s">
        <v>164</v>
      </c>
      <c r="F88" s="31" t="s">
        <v>13</v>
      </c>
      <c r="G88" s="26">
        <v>2</v>
      </c>
      <c r="H88" s="9">
        <v>2</v>
      </c>
      <c r="I88" s="9">
        <v>2</v>
      </c>
      <c r="J88" s="27">
        <v>1</v>
      </c>
      <c r="K88" s="27">
        <v>0</v>
      </c>
      <c r="L88" s="27">
        <v>0</v>
      </c>
      <c r="M88" s="27">
        <v>1</v>
      </c>
      <c r="N88" s="27">
        <v>0</v>
      </c>
      <c r="O88" s="27">
        <v>1</v>
      </c>
      <c r="P88" s="27">
        <v>1</v>
      </c>
    </row>
    <row r="89" spans="2:16" ht="38.25" x14ac:dyDescent="0.2">
      <c r="B89" s="25">
        <v>88</v>
      </c>
      <c r="C89" s="39" t="s">
        <v>87</v>
      </c>
      <c r="D89" s="34" t="s">
        <v>123</v>
      </c>
      <c r="E89" s="31" t="s">
        <v>165</v>
      </c>
      <c r="F89" s="31" t="s">
        <v>13</v>
      </c>
      <c r="G89" s="26">
        <v>2</v>
      </c>
      <c r="H89" s="9">
        <v>2</v>
      </c>
      <c r="I89" s="9">
        <v>2</v>
      </c>
      <c r="J89" s="27">
        <v>1</v>
      </c>
      <c r="K89" s="27">
        <v>0</v>
      </c>
      <c r="L89" s="27">
        <v>0</v>
      </c>
      <c r="M89" s="27">
        <v>1</v>
      </c>
      <c r="N89" s="27">
        <v>2</v>
      </c>
      <c r="O89" s="27">
        <v>1</v>
      </c>
      <c r="P89" s="27">
        <v>1</v>
      </c>
    </row>
    <row r="90" spans="2:16" ht="38.25" x14ac:dyDescent="0.2">
      <c r="B90" s="25">
        <v>89</v>
      </c>
      <c r="C90" s="39" t="s">
        <v>87</v>
      </c>
      <c r="D90" s="34" t="s">
        <v>123</v>
      </c>
      <c r="E90" s="31" t="s">
        <v>166</v>
      </c>
      <c r="F90" s="31" t="s">
        <v>13</v>
      </c>
      <c r="G90" s="26">
        <v>2</v>
      </c>
      <c r="H90" s="9">
        <v>2</v>
      </c>
      <c r="I90" s="9">
        <v>2</v>
      </c>
      <c r="J90" s="27">
        <v>1</v>
      </c>
      <c r="K90" s="27">
        <v>0</v>
      </c>
      <c r="L90" s="27">
        <v>0</v>
      </c>
      <c r="M90" s="27">
        <v>1</v>
      </c>
      <c r="N90" s="27">
        <v>1</v>
      </c>
      <c r="O90" s="27">
        <v>1</v>
      </c>
      <c r="P90" s="27">
        <v>1</v>
      </c>
    </row>
    <row r="91" spans="2:16" ht="38.25" x14ac:dyDescent="0.2">
      <c r="B91" s="25">
        <v>90</v>
      </c>
      <c r="C91" s="39" t="s">
        <v>87</v>
      </c>
      <c r="D91" s="34" t="s">
        <v>123</v>
      </c>
      <c r="E91" s="31" t="s">
        <v>167</v>
      </c>
      <c r="F91" s="31" t="s">
        <v>13</v>
      </c>
      <c r="G91" s="26">
        <v>2</v>
      </c>
      <c r="H91" s="9">
        <v>2</v>
      </c>
      <c r="I91" s="9">
        <v>2</v>
      </c>
      <c r="J91" s="27">
        <v>1</v>
      </c>
      <c r="K91" s="27">
        <v>0</v>
      </c>
      <c r="L91" s="27">
        <v>0</v>
      </c>
      <c r="M91" s="27">
        <v>1</v>
      </c>
      <c r="N91" s="27">
        <v>1</v>
      </c>
      <c r="O91" s="27">
        <v>1</v>
      </c>
      <c r="P91" s="27">
        <v>1</v>
      </c>
    </row>
    <row r="92" spans="2:16" ht="38.25" x14ac:dyDescent="0.2">
      <c r="B92" s="25">
        <v>91</v>
      </c>
      <c r="C92" s="39" t="s">
        <v>87</v>
      </c>
      <c r="D92" s="34" t="s">
        <v>123</v>
      </c>
      <c r="E92" s="31" t="s">
        <v>168</v>
      </c>
      <c r="F92" s="31" t="s">
        <v>13</v>
      </c>
      <c r="G92" s="26">
        <v>2</v>
      </c>
      <c r="H92" s="9">
        <v>2</v>
      </c>
      <c r="I92" s="9">
        <v>2</v>
      </c>
      <c r="J92" s="27">
        <v>1</v>
      </c>
      <c r="K92" s="27">
        <v>0</v>
      </c>
      <c r="L92" s="27">
        <v>0</v>
      </c>
      <c r="M92" s="27">
        <v>1</v>
      </c>
      <c r="N92" s="27">
        <v>0</v>
      </c>
      <c r="O92" s="27">
        <v>1</v>
      </c>
      <c r="P92" s="27">
        <v>1</v>
      </c>
    </row>
    <row r="93" spans="2:16" ht="38.25" x14ac:dyDescent="0.2">
      <c r="B93" s="25">
        <v>92</v>
      </c>
      <c r="C93" s="39" t="s">
        <v>87</v>
      </c>
      <c r="D93" s="34" t="s">
        <v>123</v>
      </c>
      <c r="E93" s="31" t="s">
        <v>169</v>
      </c>
      <c r="F93" s="31" t="s">
        <v>13</v>
      </c>
      <c r="G93" s="26">
        <v>2</v>
      </c>
      <c r="H93" s="9">
        <v>2</v>
      </c>
      <c r="I93" s="9">
        <v>2</v>
      </c>
      <c r="J93" s="27">
        <v>1</v>
      </c>
      <c r="K93" s="27">
        <v>0</v>
      </c>
      <c r="L93" s="27">
        <v>0</v>
      </c>
      <c r="M93" s="27">
        <v>1</v>
      </c>
      <c r="N93" s="27">
        <v>1</v>
      </c>
      <c r="O93" s="27">
        <v>1</v>
      </c>
      <c r="P93" s="27">
        <v>1</v>
      </c>
    </row>
    <row r="94" spans="2:16" ht="140.25" x14ac:dyDescent="0.2">
      <c r="B94" s="25">
        <v>93</v>
      </c>
      <c r="C94" s="39" t="s">
        <v>87</v>
      </c>
      <c r="D94" s="34" t="s">
        <v>123</v>
      </c>
      <c r="E94" s="31" t="s">
        <v>170</v>
      </c>
      <c r="F94" s="31" t="s">
        <v>13</v>
      </c>
      <c r="G94" s="26">
        <v>2</v>
      </c>
      <c r="H94" s="9">
        <v>2</v>
      </c>
      <c r="I94" s="9">
        <v>2</v>
      </c>
      <c r="J94" s="27">
        <v>1</v>
      </c>
      <c r="K94" s="27">
        <v>0</v>
      </c>
      <c r="L94" s="27">
        <v>0</v>
      </c>
      <c r="M94" s="27">
        <v>2</v>
      </c>
      <c r="N94" s="27">
        <v>1</v>
      </c>
      <c r="O94" s="27">
        <v>1</v>
      </c>
      <c r="P94" s="27">
        <v>1</v>
      </c>
    </row>
    <row r="95" spans="2:16" ht="38.25" x14ac:dyDescent="0.2">
      <c r="B95" s="25">
        <v>94</v>
      </c>
      <c r="C95" s="39" t="s">
        <v>87</v>
      </c>
      <c r="D95" s="34" t="s">
        <v>123</v>
      </c>
      <c r="E95" s="31" t="s">
        <v>171</v>
      </c>
      <c r="F95" s="31" t="s">
        <v>13</v>
      </c>
      <c r="G95" s="26">
        <v>2</v>
      </c>
      <c r="H95" s="9">
        <v>2</v>
      </c>
      <c r="I95" s="9">
        <v>2</v>
      </c>
      <c r="J95" s="27">
        <v>1</v>
      </c>
      <c r="K95" s="27">
        <v>0</v>
      </c>
      <c r="L95" s="27">
        <v>0</v>
      </c>
      <c r="M95" s="27">
        <v>2</v>
      </c>
      <c r="N95" s="27">
        <v>0</v>
      </c>
      <c r="O95" s="27">
        <v>1</v>
      </c>
      <c r="P95" s="27">
        <v>1</v>
      </c>
    </row>
    <row r="96" spans="2:16" ht="38.25" x14ac:dyDescent="0.2">
      <c r="B96" s="25">
        <v>95</v>
      </c>
      <c r="C96" s="39" t="s">
        <v>87</v>
      </c>
      <c r="D96" s="34" t="s">
        <v>123</v>
      </c>
      <c r="E96" s="31" t="s">
        <v>172</v>
      </c>
      <c r="F96" s="31" t="s">
        <v>13</v>
      </c>
      <c r="G96" s="26">
        <v>2</v>
      </c>
      <c r="H96" s="9">
        <v>2</v>
      </c>
      <c r="I96" s="9">
        <v>2</v>
      </c>
      <c r="J96" s="27">
        <v>1</v>
      </c>
      <c r="K96" s="27">
        <v>0</v>
      </c>
      <c r="L96" s="27">
        <v>0</v>
      </c>
      <c r="M96" s="27">
        <v>2</v>
      </c>
      <c r="N96" s="27">
        <v>0</v>
      </c>
      <c r="O96" s="27">
        <v>1</v>
      </c>
      <c r="P96" s="27">
        <v>1</v>
      </c>
    </row>
    <row r="97" spans="2:16" ht="38.25" x14ac:dyDescent="0.2">
      <c r="B97" s="25">
        <v>96</v>
      </c>
      <c r="C97" s="39" t="s">
        <v>87</v>
      </c>
      <c r="D97" s="34" t="s">
        <v>123</v>
      </c>
      <c r="E97" s="31" t="s">
        <v>173</v>
      </c>
      <c r="F97" s="31" t="s">
        <v>13</v>
      </c>
      <c r="G97" s="26">
        <v>2</v>
      </c>
      <c r="H97" s="9">
        <v>1</v>
      </c>
      <c r="I97" s="9">
        <v>2</v>
      </c>
      <c r="J97" s="27">
        <v>1</v>
      </c>
      <c r="K97" s="27">
        <v>0</v>
      </c>
      <c r="L97" s="27">
        <v>0</v>
      </c>
      <c r="M97" s="27">
        <v>2</v>
      </c>
      <c r="N97" s="27">
        <v>0</v>
      </c>
      <c r="O97" s="27">
        <v>1</v>
      </c>
      <c r="P97" s="27">
        <v>1</v>
      </c>
    </row>
    <row r="98" spans="2:16" ht="38.25" x14ac:dyDescent="0.2">
      <c r="B98" s="25">
        <v>97</v>
      </c>
      <c r="C98" s="39" t="s">
        <v>87</v>
      </c>
      <c r="D98" s="34" t="s">
        <v>123</v>
      </c>
      <c r="E98" s="31" t="s">
        <v>174</v>
      </c>
      <c r="F98" s="31" t="s">
        <v>13</v>
      </c>
      <c r="G98" s="26">
        <v>2</v>
      </c>
      <c r="H98" s="9">
        <v>2</v>
      </c>
      <c r="I98" s="9">
        <v>2</v>
      </c>
      <c r="J98" s="27">
        <v>1</v>
      </c>
      <c r="K98" s="27">
        <v>0</v>
      </c>
      <c r="L98" s="27">
        <v>0</v>
      </c>
      <c r="M98" s="27">
        <v>2</v>
      </c>
      <c r="N98" s="27">
        <v>0</v>
      </c>
      <c r="O98" s="27">
        <v>1</v>
      </c>
      <c r="P98" s="27">
        <v>1</v>
      </c>
    </row>
    <row r="99" spans="2:16" ht="38.25" x14ac:dyDescent="0.2">
      <c r="B99" s="25">
        <v>98</v>
      </c>
      <c r="C99" s="39" t="s">
        <v>87</v>
      </c>
      <c r="D99" s="34" t="s">
        <v>123</v>
      </c>
      <c r="E99" s="31" t="s">
        <v>175</v>
      </c>
      <c r="F99" s="31" t="s">
        <v>13</v>
      </c>
      <c r="G99" s="26">
        <v>2</v>
      </c>
      <c r="H99" s="9">
        <v>2</v>
      </c>
      <c r="I99" s="9">
        <v>2</v>
      </c>
      <c r="J99" s="27">
        <v>1</v>
      </c>
      <c r="K99" s="27">
        <v>0</v>
      </c>
      <c r="L99" s="27">
        <v>0</v>
      </c>
      <c r="M99" s="27">
        <v>2</v>
      </c>
      <c r="N99" s="27">
        <v>1</v>
      </c>
      <c r="O99" s="27">
        <v>1</v>
      </c>
      <c r="P99" s="27">
        <v>1</v>
      </c>
    </row>
    <row r="100" spans="2:16" ht="38.25" x14ac:dyDescent="0.2">
      <c r="B100" s="25">
        <v>99</v>
      </c>
      <c r="C100" s="39" t="s">
        <v>87</v>
      </c>
      <c r="D100" s="34" t="s">
        <v>123</v>
      </c>
      <c r="E100" s="31" t="s">
        <v>176</v>
      </c>
      <c r="F100" s="31" t="s">
        <v>13</v>
      </c>
      <c r="G100" s="26">
        <v>2</v>
      </c>
      <c r="H100" s="9">
        <v>2</v>
      </c>
      <c r="I100" s="9">
        <v>2</v>
      </c>
      <c r="J100" s="27">
        <v>1</v>
      </c>
      <c r="K100" s="27">
        <v>0</v>
      </c>
      <c r="L100" s="27">
        <v>0</v>
      </c>
      <c r="M100" s="27">
        <v>2</v>
      </c>
      <c r="N100" s="27">
        <v>1</v>
      </c>
      <c r="O100" s="27">
        <v>1</v>
      </c>
      <c r="P100" s="27">
        <v>1</v>
      </c>
    </row>
    <row r="101" spans="2:16" ht="38.25" x14ac:dyDescent="0.2">
      <c r="B101" s="25">
        <v>100</v>
      </c>
      <c r="C101" s="39" t="s">
        <v>87</v>
      </c>
      <c r="D101" s="34" t="s">
        <v>123</v>
      </c>
      <c r="E101" s="31" t="s">
        <v>177</v>
      </c>
      <c r="F101" s="31" t="s">
        <v>13</v>
      </c>
      <c r="G101" s="26">
        <v>2</v>
      </c>
      <c r="H101" s="9">
        <v>2</v>
      </c>
      <c r="I101" s="9">
        <v>2</v>
      </c>
      <c r="J101" s="27">
        <v>1</v>
      </c>
      <c r="K101" s="27">
        <v>0</v>
      </c>
      <c r="L101" s="27">
        <v>0</v>
      </c>
      <c r="M101" s="27">
        <v>2</v>
      </c>
      <c r="N101" s="27">
        <v>1</v>
      </c>
      <c r="O101" s="27">
        <v>1</v>
      </c>
      <c r="P101" s="27">
        <v>1</v>
      </c>
    </row>
    <row r="102" spans="2:16" ht="38.25" x14ac:dyDescent="0.2">
      <c r="B102" s="25">
        <v>101</v>
      </c>
      <c r="C102" s="39" t="s">
        <v>87</v>
      </c>
      <c r="D102" s="34" t="s">
        <v>123</v>
      </c>
      <c r="E102" s="31" t="s">
        <v>178</v>
      </c>
      <c r="F102" s="31" t="s">
        <v>13</v>
      </c>
      <c r="G102" s="26">
        <v>2</v>
      </c>
      <c r="H102" s="9">
        <v>2</v>
      </c>
      <c r="I102" s="9">
        <v>2</v>
      </c>
      <c r="J102" s="27">
        <v>1</v>
      </c>
      <c r="K102" s="27">
        <v>0</v>
      </c>
      <c r="L102" s="27">
        <v>0</v>
      </c>
      <c r="M102" s="27">
        <v>2</v>
      </c>
      <c r="N102" s="27">
        <v>1</v>
      </c>
      <c r="O102" s="27">
        <v>1</v>
      </c>
      <c r="P102" s="27">
        <v>1</v>
      </c>
    </row>
    <row r="103" spans="2:16" ht="38.25" x14ac:dyDescent="0.2">
      <c r="B103" s="25">
        <v>102</v>
      </c>
      <c r="C103" s="39" t="s">
        <v>87</v>
      </c>
      <c r="D103" s="34" t="s">
        <v>123</v>
      </c>
      <c r="E103" s="31" t="s">
        <v>179</v>
      </c>
      <c r="F103" s="31" t="s">
        <v>13</v>
      </c>
      <c r="G103" s="26">
        <v>2</v>
      </c>
      <c r="H103" s="9">
        <v>1</v>
      </c>
      <c r="I103" s="9">
        <v>2</v>
      </c>
      <c r="J103" s="27">
        <v>1</v>
      </c>
      <c r="K103" s="27">
        <v>0</v>
      </c>
      <c r="L103" s="27">
        <v>0</v>
      </c>
      <c r="M103" s="27">
        <v>2</v>
      </c>
      <c r="N103" s="27">
        <v>0</v>
      </c>
      <c r="O103" s="27">
        <v>1</v>
      </c>
      <c r="P103" s="27">
        <v>1</v>
      </c>
    </row>
    <row r="104" spans="2:16" ht="51" x14ac:dyDescent="0.2">
      <c r="B104" s="25">
        <v>103</v>
      </c>
      <c r="C104" s="39" t="s">
        <v>87</v>
      </c>
      <c r="D104" s="34" t="s">
        <v>123</v>
      </c>
      <c r="E104" s="31" t="s">
        <v>180</v>
      </c>
      <c r="F104" s="31" t="s">
        <v>13</v>
      </c>
      <c r="G104" s="26">
        <v>2</v>
      </c>
      <c r="H104" s="9">
        <v>2</v>
      </c>
      <c r="I104" s="9">
        <v>2</v>
      </c>
      <c r="J104" s="27">
        <v>1</v>
      </c>
      <c r="K104" s="27">
        <v>0</v>
      </c>
      <c r="L104" s="27">
        <v>0</v>
      </c>
      <c r="M104" s="27">
        <v>2</v>
      </c>
      <c r="N104" s="27">
        <v>2</v>
      </c>
      <c r="O104" s="27">
        <v>1</v>
      </c>
      <c r="P104" s="27">
        <v>1</v>
      </c>
    </row>
    <row r="105" spans="2:16" ht="38.25" x14ac:dyDescent="0.2">
      <c r="B105" s="25">
        <v>104</v>
      </c>
      <c r="C105" s="39" t="s">
        <v>87</v>
      </c>
      <c r="D105" s="34" t="s">
        <v>123</v>
      </c>
      <c r="E105" s="31" t="s">
        <v>181</v>
      </c>
      <c r="F105" s="31" t="s">
        <v>13</v>
      </c>
      <c r="G105" s="26">
        <v>2</v>
      </c>
      <c r="H105" s="9">
        <v>1</v>
      </c>
      <c r="I105" s="9">
        <v>2</v>
      </c>
      <c r="J105" s="27">
        <v>1</v>
      </c>
      <c r="K105" s="27">
        <v>0</v>
      </c>
      <c r="L105" s="27">
        <v>0</v>
      </c>
      <c r="M105" s="27">
        <v>2</v>
      </c>
      <c r="N105" s="27">
        <v>0</v>
      </c>
      <c r="O105" s="27">
        <v>1</v>
      </c>
      <c r="P105" s="27">
        <v>1</v>
      </c>
    </row>
    <row r="106" spans="2:16" ht="51" x14ac:dyDescent="0.2">
      <c r="B106" s="25">
        <v>105</v>
      </c>
      <c r="C106" s="39" t="s">
        <v>87</v>
      </c>
      <c r="D106" s="34" t="s">
        <v>123</v>
      </c>
      <c r="E106" s="31" t="s">
        <v>182</v>
      </c>
      <c r="F106" s="31" t="s">
        <v>13</v>
      </c>
      <c r="G106" s="26">
        <v>2</v>
      </c>
      <c r="H106" s="9">
        <v>1</v>
      </c>
      <c r="I106" s="9">
        <v>2</v>
      </c>
      <c r="J106" s="27">
        <v>1</v>
      </c>
      <c r="K106" s="27">
        <v>0</v>
      </c>
      <c r="L106" s="27">
        <v>0</v>
      </c>
      <c r="M106" s="27">
        <v>2</v>
      </c>
      <c r="N106" s="27">
        <v>0</v>
      </c>
      <c r="O106" s="27">
        <v>1</v>
      </c>
      <c r="P106" s="27">
        <v>1</v>
      </c>
    </row>
    <row r="107" spans="2:16" ht="38.25" x14ac:dyDescent="0.2">
      <c r="B107" s="25">
        <v>106</v>
      </c>
      <c r="C107" s="39" t="s">
        <v>87</v>
      </c>
      <c r="D107" s="34" t="s">
        <v>123</v>
      </c>
      <c r="E107" s="31" t="s">
        <v>183</v>
      </c>
      <c r="F107" s="31" t="s">
        <v>13</v>
      </c>
      <c r="G107" s="26">
        <v>2</v>
      </c>
      <c r="H107" s="9">
        <v>2</v>
      </c>
      <c r="I107" s="9">
        <v>2</v>
      </c>
      <c r="J107" s="27">
        <v>1</v>
      </c>
      <c r="K107" s="27">
        <v>0</v>
      </c>
      <c r="L107" s="27">
        <v>0</v>
      </c>
      <c r="M107" s="27">
        <v>2</v>
      </c>
      <c r="N107" s="27">
        <v>1</v>
      </c>
      <c r="O107" s="27">
        <v>1</v>
      </c>
      <c r="P107" s="27">
        <v>1</v>
      </c>
    </row>
    <row r="108" spans="2:16" ht="38.25" x14ac:dyDescent="0.2">
      <c r="B108" s="25">
        <v>107</v>
      </c>
      <c r="C108" s="39" t="s">
        <v>87</v>
      </c>
      <c r="D108" s="34" t="s">
        <v>123</v>
      </c>
      <c r="E108" s="31" t="s">
        <v>184</v>
      </c>
      <c r="F108" s="31" t="s">
        <v>13</v>
      </c>
      <c r="G108" s="26">
        <v>2</v>
      </c>
      <c r="H108" s="9">
        <v>1</v>
      </c>
      <c r="I108" s="9">
        <v>1</v>
      </c>
      <c r="J108" s="27">
        <v>1</v>
      </c>
      <c r="K108" s="27">
        <v>0</v>
      </c>
      <c r="L108" s="27">
        <v>0</v>
      </c>
      <c r="M108" s="27">
        <v>2</v>
      </c>
      <c r="N108" s="27">
        <v>0</v>
      </c>
      <c r="O108" s="27">
        <v>1</v>
      </c>
      <c r="P108" s="27">
        <v>1</v>
      </c>
    </row>
    <row r="109" spans="2:16" ht="38.25" x14ac:dyDescent="0.2">
      <c r="B109" s="25">
        <v>108</v>
      </c>
      <c r="C109" s="39" t="s">
        <v>87</v>
      </c>
      <c r="D109" s="34" t="s">
        <v>123</v>
      </c>
      <c r="E109" s="31" t="s">
        <v>185</v>
      </c>
      <c r="F109" s="31" t="s">
        <v>13</v>
      </c>
      <c r="G109" s="26">
        <v>2</v>
      </c>
      <c r="H109" s="9">
        <v>0</v>
      </c>
      <c r="I109" s="9">
        <v>2</v>
      </c>
      <c r="J109" s="27">
        <v>1</v>
      </c>
      <c r="K109" s="27">
        <v>0</v>
      </c>
      <c r="L109" s="27">
        <v>0</v>
      </c>
      <c r="M109" s="27">
        <v>1</v>
      </c>
      <c r="N109" s="27">
        <v>0</v>
      </c>
      <c r="O109" s="27">
        <v>1</v>
      </c>
      <c r="P109" s="27">
        <v>1</v>
      </c>
    </row>
    <row r="110" spans="2:16" ht="38.25" x14ac:dyDescent="0.2">
      <c r="B110" s="25">
        <v>109</v>
      </c>
      <c r="C110" s="39" t="s">
        <v>87</v>
      </c>
      <c r="D110" s="34" t="s">
        <v>123</v>
      </c>
      <c r="E110" s="31" t="s">
        <v>186</v>
      </c>
      <c r="F110" s="31" t="s">
        <v>13</v>
      </c>
      <c r="G110" s="26">
        <v>2</v>
      </c>
      <c r="H110" s="9">
        <v>0</v>
      </c>
      <c r="I110" s="9">
        <v>2</v>
      </c>
      <c r="J110" s="27">
        <v>1</v>
      </c>
      <c r="K110" s="27">
        <v>0</v>
      </c>
      <c r="L110" s="27">
        <v>0</v>
      </c>
      <c r="M110" s="27">
        <v>1</v>
      </c>
      <c r="N110" s="27">
        <v>0</v>
      </c>
      <c r="O110" s="27">
        <v>1</v>
      </c>
      <c r="P110" s="27">
        <v>1</v>
      </c>
    </row>
    <row r="111" spans="2:16" ht="38.25" x14ac:dyDescent="0.2">
      <c r="B111" s="25">
        <v>110</v>
      </c>
      <c r="C111" s="39" t="s">
        <v>87</v>
      </c>
      <c r="D111" s="34" t="s">
        <v>123</v>
      </c>
      <c r="E111" s="31" t="s">
        <v>187</v>
      </c>
      <c r="F111" s="31" t="s">
        <v>13</v>
      </c>
      <c r="G111" s="26">
        <v>2</v>
      </c>
      <c r="H111" s="9">
        <v>2</v>
      </c>
      <c r="I111" s="9">
        <v>2</v>
      </c>
      <c r="J111" s="27">
        <v>1</v>
      </c>
      <c r="K111" s="27">
        <v>0</v>
      </c>
      <c r="L111" s="27">
        <v>0</v>
      </c>
      <c r="M111" s="27">
        <v>1</v>
      </c>
      <c r="N111" s="27">
        <v>1</v>
      </c>
      <c r="O111" s="27">
        <v>1</v>
      </c>
      <c r="P111" s="27">
        <v>1</v>
      </c>
    </row>
    <row r="112" spans="2:16" ht="38.25" x14ac:dyDescent="0.2">
      <c r="B112" s="25">
        <v>111</v>
      </c>
      <c r="C112" s="39" t="s">
        <v>87</v>
      </c>
      <c r="D112" s="34" t="s">
        <v>123</v>
      </c>
      <c r="E112" s="31" t="s">
        <v>188</v>
      </c>
      <c r="F112" s="31" t="s">
        <v>13</v>
      </c>
      <c r="G112" s="26">
        <v>2</v>
      </c>
      <c r="H112" s="9">
        <v>1</v>
      </c>
      <c r="I112" s="9">
        <v>2</v>
      </c>
      <c r="J112" s="27">
        <v>1</v>
      </c>
      <c r="K112" s="27">
        <v>0</v>
      </c>
      <c r="L112" s="27">
        <v>0</v>
      </c>
      <c r="M112" s="27">
        <v>1</v>
      </c>
      <c r="N112" s="27">
        <v>0</v>
      </c>
      <c r="O112" s="27">
        <v>1</v>
      </c>
      <c r="P112" s="27">
        <v>1</v>
      </c>
    </row>
    <row r="113" spans="2:16" ht="114.75" x14ac:dyDescent="0.2">
      <c r="B113" s="25">
        <v>112</v>
      </c>
      <c r="C113" s="39" t="s">
        <v>87</v>
      </c>
      <c r="D113" s="34" t="s">
        <v>123</v>
      </c>
      <c r="E113" s="31" t="s">
        <v>189</v>
      </c>
      <c r="F113" s="31" t="s">
        <v>13</v>
      </c>
      <c r="G113" s="26">
        <v>2</v>
      </c>
      <c r="H113" s="9">
        <v>1</v>
      </c>
      <c r="I113" s="9">
        <v>2</v>
      </c>
      <c r="J113" s="27">
        <v>1</v>
      </c>
      <c r="K113" s="27">
        <v>0</v>
      </c>
      <c r="L113" s="27">
        <v>0</v>
      </c>
      <c r="M113" s="27">
        <v>2</v>
      </c>
      <c r="N113" s="27">
        <v>0</v>
      </c>
      <c r="O113" s="27">
        <v>1</v>
      </c>
      <c r="P113" s="27">
        <v>1</v>
      </c>
    </row>
    <row r="114" spans="2:16" ht="38.25" x14ac:dyDescent="0.2">
      <c r="B114" s="25">
        <v>113</v>
      </c>
      <c r="C114" s="39" t="s">
        <v>87</v>
      </c>
      <c r="D114" s="34" t="s">
        <v>123</v>
      </c>
      <c r="E114" s="31" t="s">
        <v>190</v>
      </c>
      <c r="F114" s="31" t="s">
        <v>13</v>
      </c>
      <c r="G114" s="26">
        <v>2</v>
      </c>
      <c r="H114" s="9">
        <v>0</v>
      </c>
      <c r="I114" s="9">
        <v>2</v>
      </c>
      <c r="J114" s="27">
        <v>1</v>
      </c>
      <c r="K114" s="27">
        <v>0</v>
      </c>
      <c r="L114" s="27">
        <v>0</v>
      </c>
      <c r="M114" s="27">
        <v>1</v>
      </c>
      <c r="N114" s="27">
        <v>0</v>
      </c>
      <c r="O114" s="27">
        <v>1</v>
      </c>
      <c r="P114" s="27">
        <v>1</v>
      </c>
    </row>
    <row r="115" spans="2:16" ht="63.75" x14ac:dyDescent="0.2">
      <c r="B115" s="25">
        <v>114</v>
      </c>
      <c r="C115" s="39" t="s">
        <v>87</v>
      </c>
      <c r="D115" s="34" t="s">
        <v>123</v>
      </c>
      <c r="E115" s="31" t="s">
        <v>191</v>
      </c>
      <c r="F115" s="31" t="s">
        <v>13</v>
      </c>
      <c r="G115" s="26">
        <v>2</v>
      </c>
      <c r="H115" s="9">
        <v>2</v>
      </c>
      <c r="I115" s="9">
        <v>2</v>
      </c>
      <c r="J115" s="27">
        <v>1</v>
      </c>
      <c r="K115" s="27">
        <v>0</v>
      </c>
      <c r="L115" s="27">
        <v>0</v>
      </c>
      <c r="M115" s="27">
        <v>2</v>
      </c>
      <c r="N115" s="27">
        <v>1</v>
      </c>
      <c r="O115" s="27">
        <v>1</v>
      </c>
      <c r="P115" s="27">
        <v>1</v>
      </c>
    </row>
    <row r="116" spans="2:16" ht="38.25" x14ac:dyDescent="0.2">
      <c r="B116" s="25">
        <v>115</v>
      </c>
      <c r="C116" s="39" t="s">
        <v>87</v>
      </c>
      <c r="D116" s="34" t="s">
        <v>123</v>
      </c>
      <c r="E116" s="31" t="s">
        <v>192</v>
      </c>
      <c r="F116" s="31" t="s">
        <v>13</v>
      </c>
      <c r="G116" s="26">
        <v>2</v>
      </c>
      <c r="H116" s="9">
        <v>2</v>
      </c>
      <c r="I116" s="9">
        <v>2</v>
      </c>
      <c r="J116" s="27">
        <v>1</v>
      </c>
      <c r="K116" s="27">
        <v>0</v>
      </c>
      <c r="L116" s="27">
        <v>0</v>
      </c>
      <c r="M116" s="27">
        <v>2</v>
      </c>
      <c r="N116" s="27">
        <v>0</v>
      </c>
      <c r="O116" s="27">
        <v>1</v>
      </c>
      <c r="P116" s="27">
        <v>1</v>
      </c>
    </row>
    <row r="117" spans="2:16" ht="63.75" x14ac:dyDescent="0.2">
      <c r="B117" s="25">
        <v>116</v>
      </c>
      <c r="C117" s="39" t="s">
        <v>87</v>
      </c>
      <c r="D117" s="34" t="s">
        <v>123</v>
      </c>
      <c r="E117" s="31" t="s">
        <v>193</v>
      </c>
      <c r="F117" s="31" t="s">
        <v>13</v>
      </c>
      <c r="G117" s="26">
        <v>2</v>
      </c>
      <c r="H117" s="9">
        <v>2</v>
      </c>
      <c r="I117" s="9">
        <v>2</v>
      </c>
      <c r="J117" s="27">
        <v>1</v>
      </c>
      <c r="K117" s="27">
        <v>0</v>
      </c>
      <c r="L117" s="27">
        <v>0</v>
      </c>
      <c r="M117" s="27">
        <v>2</v>
      </c>
      <c r="N117" s="27">
        <v>0</v>
      </c>
      <c r="O117" s="27">
        <v>1</v>
      </c>
      <c r="P117" s="27">
        <v>1</v>
      </c>
    </row>
    <row r="118" spans="2:16" ht="38.25" x14ac:dyDescent="0.2">
      <c r="B118" s="25">
        <v>117</v>
      </c>
      <c r="C118" s="39" t="s">
        <v>87</v>
      </c>
      <c r="D118" s="34" t="s">
        <v>123</v>
      </c>
      <c r="E118" s="31" t="s">
        <v>194</v>
      </c>
      <c r="F118" s="31" t="s">
        <v>13</v>
      </c>
      <c r="G118" s="26">
        <v>2</v>
      </c>
      <c r="H118" s="9">
        <v>2</v>
      </c>
      <c r="I118" s="9">
        <v>1</v>
      </c>
      <c r="J118" s="27">
        <v>1</v>
      </c>
      <c r="K118" s="27">
        <v>0</v>
      </c>
      <c r="L118" s="27">
        <v>0</v>
      </c>
      <c r="M118" s="27">
        <v>2</v>
      </c>
      <c r="N118" s="27">
        <v>1</v>
      </c>
      <c r="O118" s="27">
        <v>1</v>
      </c>
      <c r="P118" s="27">
        <v>1</v>
      </c>
    </row>
    <row r="119" spans="2:16" ht="51" x14ac:dyDescent="0.2">
      <c r="B119" s="25">
        <v>118</v>
      </c>
      <c r="C119" s="39" t="s">
        <v>87</v>
      </c>
      <c r="D119" s="34" t="s">
        <v>123</v>
      </c>
      <c r="E119" s="31" t="s">
        <v>195</v>
      </c>
      <c r="F119" s="31" t="s">
        <v>13</v>
      </c>
      <c r="G119" s="26">
        <v>2</v>
      </c>
      <c r="H119" s="9">
        <v>2</v>
      </c>
      <c r="I119" s="9">
        <v>1</v>
      </c>
      <c r="J119" s="27">
        <v>1</v>
      </c>
      <c r="K119" s="27">
        <v>0</v>
      </c>
      <c r="L119" s="27">
        <v>0</v>
      </c>
      <c r="M119" s="27">
        <v>2</v>
      </c>
      <c r="N119" s="27">
        <v>2</v>
      </c>
      <c r="O119" s="27">
        <v>1</v>
      </c>
      <c r="P119" s="27">
        <v>2</v>
      </c>
    </row>
    <row r="120" spans="2:16" ht="38.25" x14ac:dyDescent="0.2">
      <c r="B120" s="25">
        <v>119</v>
      </c>
      <c r="C120" s="39" t="s">
        <v>87</v>
      </c>
      <c r="D120" s="34" t="s">
        <v>123</v>
      </c>
      <c r="E120" s="31" t="s">
        <v>196</v>
      </c>
      <c r="F120" s="31" t="s">
        <v>13</v>
      </c>
      <c r="G120" s="26">
        <v>2</v>
      </c>
      <c r="H120" s="9">
        <v>2</v>
      </c>
      <c r="I120" s="9">
        <v>1</v>
      </c>
      <c r="J120" s="27">
        <v>1</v>
      </c>
      <c r="K120" s="27">
        <v>0</v>
      </c>
      <c r="L120" s="27">
        <v>0</v>
      </c>
      <c r="M120" s="27">
        <v>2</v>
      </c>
      <c r="N120" s="27">
        <v>2</v>
      </c>
      <c r="O120" s="27">
        <v>1</v>
      </c>
      <c r="P120" s="27">
        <v>2</v>
      </c>
    </row>
    <row r="121" spans="2:16" ht="38.25" x14ac:dyDescent="0.2">
      <c r="B121" s="25">
        <v>120</v>
      </c>
      <c r="C121" s="39" t="s">
        <v>87</v>
      </c>
      <c r="D121" s="34" t="s">
        <v>123</v>
      </c>
      <c r="E121" s="31" t="s">
        <v>197</v>
      </c>
      <c r="F121" s="31" t="s">
        <v>13</v>
      </c>
      <c r="G121" s="26">
        <v>2</v>
      </c>
      <c r="H121" s="9">
        <v>2</v>
      </c>
      <c r="I121" s="9">
        <v>0</v>
      </c>
      <c r="J121" s="27">
        <v>1</v>
      </c>
      <c r="K121" s="27">
        <v>0</v>
      </c>
      <c r="L121" s="27">
        <v>0</v>
      </c>
      <c r="M121" s="27">
        <v>2</v>
      </c>
      <c r="N121" s="27">
        <v>0</v>
      </c>
      <c r="O121" s="27">
        <v>1</v>
      </c>
      <c r="P121" s="27">
        <v>1</v>
      </c>
    </row>
    <row r="122" spans="2:16" ht="38.25" x14ac:dyDescent="0.2">
      <c r="B122" s="25">
        <v>121</v>
      </c>
      <c r="C122" s="39" t="s">
        <v>87</v>
      </c>
      <c r="D122" s="34" t="s">
        <v>123</v>
      </c>
      <c r="E122" s="31" t="s">
        <v>198</v>
      </c>
      <c r="F122" s="31" t="s">
        <v>13</v>
      </c>
      <c r="G122" s="26">
        <v>2</v>
      </c>
      <c r="H122" s="9">
        <v>1</v>
      </c>
      <c r="I122" s="9">
        <v>1</v>
      </c>
      <c r="J122" s="27">
        <v>1</v>
      </c>
      <c r="K122" s="27">
        <v>0</v>
      </c>
      <c r="L122" s="27">
        <v>0</v>
      </c>
      <c r="M122" s="27">
        <v>2</v>
      </c>
      <c r="N122" s="27">
        <v>0</v>
      </c>
      <c r="O122" s="27">
        <v>1</v>
      </c>
      <c r="P122" s="27">
        <v>1</v>
      </c>
    </row>
    <row r="123" spans="2:16" ht="38.25" x14ac:dyDescent="0.2">
      <c r="B123" s="25">
        <v>122</v>
      </c>
      <c r="C123" s="39" t="s">
        <v>87</v>
      </c>
      <c r="D123" s="34" t="s">
        <v>123</v>
      </c>
      <c r="E123" s="31" t="s">
        <v>199</v>
      </c>
      <c r="F123" s="31" t="s">
        <v>13</v>
      </c>
      <c r="G123" s="26">
        <v>2</v>
      </c>
      <c r="H123" s="9">
        <v>1</v>
      </c>
      <c r="I123" s="9">
        <v>1</v>
      </c>
      <c r="J123" s="27">
        <v>1</v>
      </c>
      <c r="K123" s="27">
        <v>0</v>
      </c>
      <c r="L123" s="27">
        <v>0</v>
      </c>
      <c r="M123" s="27">
        <v>2</v>
      </c>
      <c r="N123" s="27">
        <v>0</v>
      </c>
      <c r="O123" s="27">
        <v>1</v>
      </c>
      <c r="P123" s="27">
        <v>1</v>
      </c>
    </row>
    <row r="124" spans="2:16" ht="38.25" x14ac:dyDescent="0.2">
      <c r="B124" s="25">
        <v>123</v>
      </c>
      <c r="C124" s="39" t="s">
        <v>87</v>
      </c>
      <c r="D124" s="34" t="s">
        <v>123</v>
      </c>
      <c r="E124" s="31" t="s">
        <v>200</v>
      </c>
      <c r="F124" s="31" t="s">
        <v>13</v>
      </c>
      <c r="G124" s="26">
        <v>2</v>
      </c>
      <c r="H124" s="9">
        <v>2</v>
      </c>
      <c r="I124" s="9">
        <v>0</v>
      </c>
      <c r="J124" s="27">
        <v>1</v>
      </c>
      <c r="K124" s="27">
        <v>0</v>
      </c>
      <c r="L124" s="27">
        <v>0</v>
      </c>
      <c r="M124" s="27">
        <v>2</v>
      </c>
      <c r="N124" s="27">
        <v>0</v>
      </c>
      <c r="O124" s="27">
        <v>1</v>
      </c>
      <c r="P124" s="27">
        <v>1</v>
      </c>
    </row>
    <row r="125" spans="2:16" ht="38.25" x14ac:dyDescent="0.2">
      <c r="B125" s="25">
        <v>124</v>
      </c>
      <c r="C125" s="39" t="s">
        <v>87</v>
      </c>
      <c r="D125" s="34" t="s">
        <v>123</v>
      </c>
      <c r="E125" s="31" t="s">
        <v>201</v>
      </c>
      <c r="F125" s="31" t="s">
        <v>13</v>
      </c>
      <c r="G125" s="26">
        <v>2</v>
      </c>
      <c r="H125" s="9">
        <v>2</v>
      </c>
      <c r="I125" s="9">
        <v>1</v>
      </c>
      <c r="J125" s="27">
        <v>1</v>
      </c>
      <c r="K125" s="27">
        <v>0</v>
      </c>
      <c r="L125" s="27">
        <v>0</v>
      </c>
      <c r="M125" s="27">
        <v>2</v>
      </c>
      <c r="N125" s="27">
        <v>1</v>
      </c>
      <c r="O125" s="27">
        <v>1</v>
      </c>
      <c r="P125" s="27">
        <v>1</v>
      </c>
    </row>
    <row r="126" spans="2:16" ht="38.25" x14ac:dyDescent="0.2">
      <c r="B126" s="25">
        <v>125</v>
      </c>
      <c r="C126" s="39" t="s">
        <v>87</v>
      </c>
      <c r="D126" s="34" t="s">
        <v>123</v>
      </c>
      <c r="E126" s="31" t="s">
        <v>202</v>
      </c>
      <c r="F126" s="31" t="s">
        <v>13</v>
      </c>
      <c r="G126" s="26">
        <v>2</v>
      </c>
      <c r="H126" s="9">
        <v>2</v>
      </c>
      <c r="I126" s="9">
        <v>1</v>
      </c>
      <c r="J126" s="27">
        <v>1</v>
      </c>
      <c r="K126" s="27">
        <v>0</v>
      </c>
      <c r="L126" s="27">
        <v>0</v>
      </c>
      <c r="M126" s="27">
        <v>2</v>
      </c>
      <c r="N126" s="27">
        <v>1</v>
      </c>
      <c r="O126" s="27">
        <v>1</v>
      </c>
      <c r="P126" s="27">
        <v>1</v>
      </c>
    </row>
    <row r="127" spans="2:16" ht="178.5" x14ac:dyDescent="0.2">
      <c r="B127" s="25">
        <v>126</v>
      </c>
      <c r="C127" s="39" t="s">
        <v>87</v>
      </c>
      <c r="D127" s="34" t="s">
        <v>123</v>
      </c>
      <c r="E127" s="31" t="s">
        <v>203</v>
      </c>
      <c r="F127" s="31" t="s">
        <v>13</v>
      </c>
      <c r="G127" s="26">
        <v>2</v>
      </c>
      <c r="H127" s="9">
        <v>1</v>
      </c>
      <c r="I127" s="9">
        <v>1</v>
      </c>
      <c r="J127" s="27">
        <v>1</v>
      </c>
      <c r="K127" s="27">
        <v>0</v>
      </c>
      <c r="L127" s="27">
        <v>0</v>
      </c>
      <c r="M127" s="27">
        <v>2</v>
      </c>
      <c r="N127" s="27">
        <v>1</v>
      </c>
      <c r="O127" s="27">
        <v>1</v>
      </c>
      <c r="P127" s="27">
        <v>1</v>
      </c>
    </row>
    <row r="128" spans="2:16" ht="38.25" x14ac:dyDescent="0.2">
      <c r="B128" s="25">
        <v>127</v>
      </c>
      <c r="C128" s="39" t="s">
        <v>87</v>
      </c>
      <c r="D128" s="34" t="s">
        <v>123</v>
      </c>
      <c r="E128" s="31" t="s">
        <v>204</v>
      </c>
      <c r="F128" s="31" t="s">
        <v>13</v>
      </c>
      <c r="G128" s="26">
        <v>2</v>
      </c>
      <c r="H128" s="9">
        <v>1</v>
      </c>
      <c r="I128" s="9">
        <v>1</v>
      </c>
      <c r="J128" s="27">
        <v>1</v>
      </c>
      <c r="K128" s="27">
        <v>0</v>
      </c>
      <c r="L128" s="27">
        <v>0</v>
      </c>
      <c r="M128" s="27">
        <v>2</v>
      </c>
      <c r="N128" s="27">
        <v>0</v>
      </c>
      <c r="O128" s="27">
        <v>1</v>
      </c>
      <c r="P128" s="27">
        <v>1</v>
      </c>
    </row>
    <row r="129" spans="2:16" ht="51" x14ac:dyDescent="0.2">
      <c r="B129" s="25">
        <v>128</v>
      </c>
      <c r="C129" s="39" t="s">
        <v>87</v>
      </c>
      <c r="D129" s="34" t="s">
        <v>123</v>
      </c>
      <c r="E129" s="31" t="s">
        <v>205</v>
      </c>
      <c r="F129" s="31" t="s">
        <v>13</v>
      </c>
      <c r="G129" s="26">
        <v>2</v>
      </c>
      <c r="H129" s="9">
        <v>1</v>
      </c>
      <c r="I129" s="9">
        <v>0</v>
      </c>
      <c r="J129" s="27">
        <v>1</v>
      </c>
      <c r="K129" s="27">
        <v>0</v>
      </c>
      <c r="L129" s="27">
        <v>0</v>
      </c>
      <c r="M129" s="27">
        <v>2</v>
      </c>
      <c r="N129" s="27">
        <v>1</v>
      </c>
      <c r="O129" s="27">
        <v>1</v>
      </c>
      <c r="P129" s="27">
        <v>1</v>
      </c>
    </row>
    <row r="130" spans="2:16" ht="51" x14ac:dyDescent="0.2">
      <c r="B130" s="25">
        <v>129</v>
      </c>
      <c r="C130" s="39" t="s">
        <v>87</v>
      </c>
      <c r="D130" s="34" t="s">
        <v>123</v>
      </c>
      <c r="E130" s="31" t="s">
        <v>206</v>
      </c>
      <c r="F130" s="31" t="s">
        <v>13</v>
      </c>
      <c r="G130" s="26">
        <v>2</v>
      </c>
      <c r="H130" s="9">
        <v>1</v>
      </c>
      <c r="I130" s="9">
        <v>1</v>
      </c>
      <c r="J130" s="27">
        <v>1</v>
      </c>
      <c r="K130" s="27">
        <v>0</v>
      </c>
      <c r="L130" s="27">
        <v>0</v>
      </c>
      <c r="M130" s="27">
        <v>2</v>
      </c>
      <c r="N130" s="27">
        <v>0</v>
      </c>
      <c r="O130" s="27">
        <v>1</v>
      </c>
      <c r="P130" s="27">
        <v>1</v>
      </c>
    </row>
    <row r="131" spans="2:16" ht="38.25" x14ac:dyDescent="0.2">
      <c r="B131" s="25">
        <v>130</v>
      </c>
      <c r="C131" s="39" t="s">
        <v>87</v>
      </c>
      <c r="D131" s="34" t="s">
        <v>123</v>
      </c>
      <c r="E131" s="31" t="s">
        <v>207</v>
      </c>
      <c r="F131" s="31" t="s">
        <v>13</v>
      </c>
      <c r="G131" s="26">
        <v>2</v>
      </c>
      <c r="H131" s="9">
        <v>0</v>
      </c>
      <c r="I131" s="9">
        <v>1</v>
      </c>
      <c r="J131" s="27">
        <v>1</v>
      </c>
      <c r="K131" s="27">
        <v>0</v>
      </c>
      <c r="L131" s="27">
        <v>0</v>
      </c>
      <c r="M131" s="27">
        <v>2</v>
      </c>
      <c r="N131" s="27">
        <v>0</v>
      </c>
      <c r="O131" s="27">
        <v>1</v>
      </c>
      <c r="P131" s="27">
        <v>1</v>
      </c>
    </row>
    <row r="132" spans="2:16" ht="38.25" x14ac:dyDescent="0.2">
      <c r="B132" s="25">
        <v>131</v>
      </c>
      <c r="C132" s="39" t="s">
        <v>87</v>
      </c>
      <c r="D132" s="34" t="s">
        <v>123</v>
      </c>
      <c r="E132" s="31" t="s">
        <v>208</v>
      </c>
      <c r="F132" s="31" t="s">
        <v>13</v>
      </c>
      <c r="G132" s="26">
        <v>2</v>
      </c>
      <c r="H132" s="9">
        <v>0</v>
      </c>
      <c r="I132" s="9">
        <v>2</v>
      </c>
      <c r="J132" s="27">
        <v>1</v>
      </c>
      <c r="K132" s="27">
        <v>0</v>
      </c>
      <c r="L132" s="27">
        <v>0</v>
      </c>
      <c r="M132" s="27">
        <v>2</v>
      </c>
      <c r="N132" s="27">
        <v>0</v>
      </c>
      <c r="O132" s="27">
        <v>1</v>
      </c>
      <c r="P132" s="27">
        <v>1</v>
      </c>
    </row>
    <row r="133" spans="2:16" ht="76.5" x14ac:dyDescent="0.2">
      <c r="B133" s="25">
        <v>132</v>
      </c>
      <c r="C133" s="39" t="s">
        <v>87</v>
      </c>
      <c r="D133" s="34" t="s">
        <v>123</v>
      </c>
      <c r="E133" s="31" t="s">
        <v>209</v>
      </c>
      <c r="F133" s="31" t="s">
        <v>13</v>
      </c>
      <c r="G133" s="26">
        <v>2</v>
      </c>
      <c r="H133" s="9">
        <v>2</v>
      </c>
      <c r="I133" s="9">
        <v>2</v>
      </c>
      <c r="J133" s="27">
        <v>2</v>
      </c>
      <c r="K133" s="27">
        <v>0</v>
      </c>
      <c r="L133" s="27">
        <v>0</v>
      </c>
      <c r="M133" s="27">
        <v>2</v>
      </c>
      <c r="N133" s="27">
        <v>2</v>
      </c>
      <c r="O133" s="27">
        <v>1</v>
      </c>
      <c r="P133" s="27">
        <v>1</v>
      </c>
    </row>
    <row r="134" spans="2:16" ht="38.25" x14ac:dyDescent="0.2">
      <c r="B134" s="25">
        <v>133</v>
      </c>
      <c r="C134" s="39" t="s">
        <v>87</v>
      </c>
      <c r="D134" s="34" t="s">
        <v>123</v>
      </c>
      <c r="E134" s="31" t="s">
        <v>210</v>
      </c>
      <c r="F134" s="31" t="s">
        <v>13</v>
      </c>
      <c r="G134" s="26">
        <v>2</v>
      </c>
      <c r="H134" s="9">
        <v>2</v>
      </c>
      <c r="I134" s="9">
        <v>2</v>
      </c>
      <c r="J134" s="27">
        <v>1</v>
      </c>
      <c r="K134" s="27">
        <v>0</v>
      </c>
      <c r="L134" s="27">
        <v>0</v>
      </c>
      <c r="M134" s="27">
        <v>2</v>
      </c>
      <c r="N134" s="27">
        <v>2</v>
      </c>
      <c r="O134" s="27">
        <v>1</v>
      </c>
      <c r="P134" s="27">
        <v>1</v>
      </c>
    </row>
    <row r="135" spans="2:16" ht="51" x14ac:dyDescent="0.2">
      <c r="B135" s="25">
        <v>134</v>
      </c>
      <c r="C135" s="39" t="s">
        <v>87</v>
      </c>
      <c r="D135" s="34" t="s">
        <v>123</v>
      </c>
      <c r="E135" s="31" t="s">
        <v>211</v>
      </c>
      <c r="F135" s="31" t="s">
        <v>13</v>
      </c>
      <c r="G135" s="26">
        <v>2</v>
      </c>
      <c r="H135" s="9">
        <v>2</v>
      </c>
      <c r="I135" s="9">
        <v>2</v>
      </c>
      <c r="J135" s="27">
        <v>1</v>
      </c>
      <c r="K135" s="27">
        <v>0</v>
      </c>
      <c r="L135" s="27">
        <v>0</v>
      </c>
      <c r="M135" s="27">
        <v>2</v>
      </c>
      <c r="N135" s="27">
        <v>1</v>
      </c>
      <c r="O135" s="27">
        <v>1</v>
      </c>
      <c r="P135" s="27">
        <v>1</v>
      </c>
    </row>
    <row r="136" spans="2:16" ht="204" x14ac:dyDescent="0.2">
      <c r="B136" s="25">
        <v>135</v>
      </c>
      <c r="C136" s="39" t="s">
        <v>87</v>
      </c>
      <c r="D136" s="34" t="s">
        <v>123</v>
      </c>
      <c r="E136" s="31" t="s">
        <v>212</v>
      </c>
      <c r="F136" s="31" t="s">
        <v>13</v>
      </c>
      <c r="G136" s="26">
        <v>2</v>
      </c>
      <c r="H136" s="9">
        <v>1</v>
      </c>
      <c r="I136" s="9">
        <v>2</v>
      </c>
      <c r="J136" s="27">
        <v>1</v>
      </c>
      <c r="K136" s="27">
        <v>0</v>
      </c>
      <c r="L136" s="27">
        <v>0</v>
      </c>
      <c r="M136" s="27">
        <v>2</v>
      </c>
      <c r="N136" s="27">
        <v>0</v>
      </c>
      <c r="O136" s="27">
        <v>1</v>
      </c>
      <c r="P136" s="27">
        <v>1</v>
      </c>
    </row>
    <row r="137" spans="2:16" ht="38.25" x14ac:dyDescent="0.2">
      <c r="B137" s="25">
        <v>136</v>
      </c>
      <c r="C137" s="39" t="s">
        <v>87</v>
      </c>
      <c r="D137" s="34" t="s">
        <v>123</v>
      </c>
      <c r="E137" s="31" t="s">
        <v>213</v>
      </c>
      <c r="F137" s="31" t="s">
        <v>13</v>
      </c>
      <c r="G137" s="26">
        <v>2</v>
      </c>
      <c r="H137" s="9">
        <v>1</v>
      </c>
      <c r="I137" s="9">
        <v>2</v>
      </c>
      <c r="J137" s="27">
        <v>1</v>
      </c>
      <c r="K137" s="27">
        <v>0</v>
      </c>
      <c r="L137" s="27">
        <v>0</v>
      </c>
      <c r="M137" s="27">
        <v>2</v>
      </c>
      <c r="N137" s="27">
        <v>0</v>
      </c>
      <c r="O137" s="27">
        <v>1</v>
      </c>
      <c r="P137" s="27">
        <v>1</v>
      </c>
    </row>
    <row r="138" spans="2:16" ht="38.25" x14ac:dyDescent="0.2">
      <c r="B138" s="25">
        <v>137</v>
      </c>
      <c r="C138" s="39" t="s">
        <v>87</v>
      </c>
      <c r="D138" s="34" t="s">
        <v>123</v>
      </c>
      <c r="E138" s="31" t="s">
        <v>214</v>
      </c>
      <c r="F138" s="31" t="s">
        <v>13</v>
      </c>
      <c r="G138" s="26">
        <v>2</v>
      </c>
      <c r="H138" s="9">
        <v>2</v>
      </c>
      <c r="I138" s="9">
        <v>0</v>
      </c>
      <c r="J138" s="27">
        <v>1</v>
      </c>
      <c r="K138" s="27">
        <v>0</v>
      </c>
      <c r="L138" s="27">
        <v>0</v>
      </c>
      <c r="M138" s="27">
        <v>2</v>
      </c>
      <c r="N138" s="27">
        <v>1</v>
      </c>
      <c r="O138" s="27">
        <v>1</v>
      </c>
      <c r="P138" s="27">
        <v>1</v>
      </c>
    </row>
    <row r="139" spans="2:16" ht="38.25" x14ac:dyDescent="0.2">
      <c r="B139" s="25">
        <v>138</v>
      </c>
      <c r="C139" s="39" t="s">
        <v>87</v>
      </c>
      <c r="D139" s="34" t="s">
        <v>123</v>
      </c>
      <c r="E139" s="31" t="s">
        <v>215</v>
      </c>
      <c r="F139" s="31" t="s">
        <v>13</v>
      </c>
      <c r="G139" s="26">
        <v>2</v>
      </c>
      <c r="H139" s="9">
        <v>2</v>
      </c>
      <c r="I139" s="9">
        <v>2</v>
      </c>
      <c r="J139" s="27">
        <v>1</v>
      </c>
      <c r="K139" s="27">
        <v>0</v>
      </c>
      <c r="L139" s="27">
        <v>0</v>
      </c>
      <c r="M139" s="27">
        <v>2</v>
      </c>
      <c r="N139" s="27">
        <v>1</v>
      </c>
      <c r="O139" s="27">
        <v>1</v>
      </c>
      <c r="P139" s="27">
        <v>1</v>
      </c>
    </row>
    <row r="140" spans="2:16" ht="63.75" x14ac:dyDescent="0.2">
      <c r="B140" s="25">
        <v>139</v>
      </c>
      <c r="C140" s="39" t="s">
        <v>87</v>
      </c>
      <c r="D140" s="34" t="s">
        <v>123</v>
      </c>
      <c r="E140" s="31" t="s">
        <v>216</v>
      </c>
      <c r="F140" s="31" t="s">
        <v>13</v>
      </c>
      <c r="G140" s="26">
        <v>2</v>
      </c>
      <c r="H140" s="9">
        <v>0</v>
      </c>
      <c r="I140" s="9">
        <v>2</v>
      </c>
      <c r="J140" s="27">
        <v>1</v>
      </c>
      <c r="K140" s="27">
        <v>0</v>
      </c>
      <c r="L140" s="27">
        <v>0</v>
      </c>
      <c r="M140" s="27">
        <v>2</v>
      </c>
      <c r="N140" s="27">
        <v>0</v>
      </c>
      <c r="O140" s="27">
        <v>1</v>
      </c>
      <c r="P140" s="27">
        <v>1</v>
      </c>
    </row>
    <row r="141" spans="2:16" ht="38.25" x14ac:dyDescent="0.2">
      <c r="B141" s="25">
        <v>140</v>
      </c>
      <c r="C141" s="39" t="s">
        <v>87</v>
      </c>
      <c r="D141" s="34" t="s">
        <v>123</v>
      </c>
      <c r="E141" s="31" t="s">
        <v>217</v>
      </c>
      <c r="F141" s="31" t="s">
        <v>13</v>
      </c>
      <c r="G141" s="26">
        <v>2</v>
      </c>
      <c r="H141" s="9">
        <v>1</v>
      </c>
      <c r="I141" s="9">
        <v>2</v>
      </c>
      <c r="J141" s="27">
        <v>1</v>
      </c>
      <c r="K141" s="27">
        <v>0</v>
      </c>
      <c r="L141" s="27">
        <v>0</v>
      </c>
      <c r="M141" s="27">
        <v>2</v>
      </c>
      <c r="N141" s="27">
        <v>0</v>
      </c>
      <c r="O141" s="27">
        <v>1</v>
      </c>
      <c r="P141" s="27">
        <v>1</v>
      </c>
    </row>
    <row r="142" spans="2:16" ht="38.25" x14ac:dyDescent="0.2">
      <c r="B142" s="25">
        <v>141</v>
      </c>
      <c r="C142" s="39" t="s">
        <v>87</v>
      </c>
      <c r="D142" s="34" t="s">
        <v>123</v>
      </c>
      <c r="E142" s="31" t="s">
        <v>218</v>
      </c>
      <c r="F142" s="31" t="s">
        <v>13</v>
      </c>
      <c r="G142" s="26">
        <v>2</v>
      </c>
      <c r="H142" s="9">
        <v>0</v>
      </c>
      <c r="I142" s="9">
        <v>2</v>
      </c>
      <c r="J142" s="27">
        <v>1</v>
      </c>
      <c r="K142" s="27">
        <v>0</v>
      </c>
      <c r="L142" s="27">
        <v>0</v>
      </c>
      <c r="M142" s="27">
        <v>2</v>
      </c>
      <c r="N142" s="27">
        <v>0</v>
      </c>
      <c r="O142" s="27">
        <v>1</v>
      </c>
      <c r="P142" s="27">
        <v>1</v>
      </c>
    </row>
    <row r="143" spans="2:16" ht="38.25" x14ac:dyDescent="0.2">
      <c r="B143" s="25">
        <v>142</v>
      </c>
      <c r="C143" s="39" t="s">
        <v>87</v>
      </c>
      <c r="D143" s="34" t="s">
        <v>123</v>
      </c>
      <c r="E143" s="31" t="s">
        <v>219</v>
      </c>
      <c r="F143" s="31" t="s">
        <v>13</v>
      </c>
      <c r="G143" s="26">
        <v>2</v>
      </c>
      <c r="H143" s="9">
        <v>1</v>
      </c>
      <c r="I143" s="9">
        <v>1</v>
      </c>
      <c r="J143" s="27">
        <v>1</v>
      </c>
      <c r="K143" s="27">
        <v>0</v>
      </c>
      <c r="L143" s="27">
        <v>0</v>
      </c>
      <c r="M143" s="27">
        <v>2</v>
      </c>
      <c r="N143" s="27">
        <v>0</v>
      </c>
      <c r="O143" s="27">
        <v>1</v>
      </c>
      <c r="P143" s="27">
        <v>1</v>
      </c>
    </row>
    <row r="144" spans="2:16" ht="63.75" x14ac:dyDescent="0.2">
      <c r="B144" s="25">
        <v>143</v>
      </c>
      <c r="C144" s="39" t="s">
        <v>87</v>
      </c>
      <c r="D144" s="34" t="s">
        <v>123</v>
      </c>
      <c r="E144" s="31" t="s">
        <v>220</v>
      </c>
      <c r="F144" s="31" t="s">
        <v>13</v>
      </c>
      <c r="G144" s="26">
        <v>2</v>
      </c>
      <c r="H144" s="9">
        <v>1</v>
      </c>
      <c r="I144" s="9">
        <v>0</v>
      </c>
      <c r="J144" s="27">
        <v>1</v>
      </c>
      <c r="K144" s="27">
        <v>0</v>
      </c>
      <c r="L144" s="27">
        <v>0</v>
      </c>
      <c r="M144" s="27">
        <v>2</v>
      </c>
      <c r="N144" s="27">
        <v>0</v>
      </c>
      <c r="O144" s="27">
        <v>1</v>
      </c>
      <c r="P144" s="27">
        <v>1</v>
      </c>
    </row>
    <row r="145" spans="2:16" ht="76.5" x14ac:dyDescent="0.2">
      <c r="B145" s="25">
        <v>144</v>
      </c>
      <c r="C145" s="39" t="s">
        <v>87</v>
      </c>
      <c r="D145" s="34" t="s">
        <v>123</v>
      </c>
      <c r="E145" s="31" t="s">
        <v>221</v>
      </c>
      <c r="F145" s="31" t="s">
        <v>13</v>
      </c>
      <c r="G145" s="26">
        <v>2</v>
      </c>
      <c r="H145" s="9">
        <v>1</v>
      </c>
      <c r="I145" s="9">
        <v>2</v>
      </c>
      <c r="J145" s="27">
        <v>1</v>
      </c>
      <c r="K145" s="27">
        <v>0</v>
      </c>
      <c r="L145" s="27">
        <v>0</v>
      </c>
      <c r="M145" s="27">
        <v>2</v>
      </c>
      <c r="N145" s="27">
        <v>1</v>
      </c>
      <c r="O145" s="27">
        <v>1</v>
      </c>
      <c r="P145" s="27">
        <v>1</v>
      </c>
    </row>
    <row r="146" spans="2:16" ht="38.25" x14ac:dyDescent="0.2">
      <c r="B146" s="25">
        <v>145</v>
      </c>
      <c r="C146" s="39" t="s">
        <v>87</v>
      </c>
      <c r="D146" s="34" t="s">
        <v>123</v>
      </c>
      <c r="E146" s="31" t="s">
        <v>222</v>
      </c>
      <c r="F146" s="31" t="s">
        <v>13</v>
      </c>
      <c r="G146" s="26">
        <v>2</v>
      </c>
      <c r="H146" s="9">
        <v>2</v>
      </c>
      <c r="I146" s="9">
        <v>1</v>
      </c>
      <c r="J146" s="27">
        <v>1</v>
      </c>
      <c r="K146" s="27">
        <v>0</v>
      </c>
      <c r="L146" s="27">
        <v>0</v>
      </c>
      <c r="M146" s="27">
        <v>2</v>
      </c>
      <c r="N146" s="27">
        <v>1</v>
      </c>
      <c r="O146" s="27">
        <v>1</v>
      </c>
      <c r="P146" s="27">
        <v>1</v>
      </c>
    </row>
    <row r="147" spans="2:16" ht="38.25" x14ac:dyDescent="0.2">
      <c r="B147" s="25">
        <v>146</v>
      </c>
      <c r="C147" s="39" t="s">
        <v>87</v>
      </c>
      <c r="D147" s="34" t="s">
        <v>123</v>
      </c>
      <c r="E147" s="31" t="s">
        <v>223</v>
      </c>
      <c r="F147" s="31" t="s">
        <v>13</v>
      </c>
      <c r="G147" s="26">
        <v>2</v>
      </c>
      <c r="H147" s="9">
        <v>2</v>
      </c>
      <c r="I147" s="9">
        <v>1</v>
      </c>
      <c r="J147" s="27">
        <v>1</v>
      </c>
      <c r="K147" s="27">
        <v>0</v>
      </c>
      <c r="L147" s="27">
        <v>0</v>
      </c>
      <c r="M147" s="27">
        <v>2</v>
      </c>
      <c r="N147" s="27">
        <v>1</v>
      </c>
      <c r="O147" s="27">
        <v>1</v>
      </c>
      <c r="P147" s="27">
        <v>1</v>
      </c>
    </row>
    <row r="148" spans="2:16" ht="38.25" x14ac:dyDescent="0.2">
      <c r="B148" s="25">
        <v>147</v>
      </c>
      <c r="C148" s="39" t="s">
        <v>87</v>
      </c>
      <c r="D148" s="34" t="s">
        <v>123</v>
      </c>
      <c r="E148" s="31" t="s">
        <v>224</v>
      </c>
      <c r="F148" s="31" t="s">
        <v>13</v>
      </c>
      <c r="G148" s="26">
        <v>2</v>
      </c>
      <c r="H148" s="9">
        <v>2</v>
      </c>
      <c r="I148" s="9">
        <v>1</v>
      </c>
      <c r="J148" s="27">
        <v>1</v>
      </c>
      <c r="K148" s="27">
        <v>0</v>
      </c>
      <c r="L148" s="27">
        <v>0</v>
      </c>
      <c r="M148" s="27">
        <v>2</v>
      </c>
      <c r="N148" s="27">
        <v>1</v>
      </c>
      <c r="O148" s="27">
        <v>1</v>
      </c>
      <c r="P148" s="27">
        <v>1</v>
      </c>
    </row>
    <row r="149" spans="2:16" ht="51" x14ac:dyDescent="0.2">
      <c r="B149" s="25">
        <v>148</v>
      </c>
      <c r="C149" s="39" t="s">
        <v>87</v>
      </c>
      <c r="D149" s="34" t="s">
        <v>123</v>
      </c>
      <c r="E149" s="31" t="s">
        <v>225</v>
      </c>
      <c r="F149" s="31" t="s">
        <v>13</v>
      </c>
      <c r="G149" s="26">
        <v>2</v>
      </c>
      <c r="H149" s="9">
        <v>1</v>
      </c>
      <c r="I149" s="9">
        <v>0</v>
      </c>
      <c r="J149" s="27">
        <v>1</v>
      </c>
      <c r="K149" s="27">
        <v>0</v>
      </c>
      <c r="L149" s="27">
        <v>0</v>
      </c>
      <c r="M149" s="27">
        <v>2</v>
      </c>
      <c r="N149" s="27">
        <v>0</v>
      </c>
      <c r="O149" s="27">
        <v>1</v>
      </c>
      <c r="P149" s="27">
        <v>1</v>
      </c>
    </row>
    <row r="150" spans="2:16" ht="38.25" x14ac:dyDescent="0.2">
      <c r="B150" s="25">
        <v>149</v>
      </c>
      <c r="C150" s="39" t="s">
        <v>87</v>
      </c>
      <c r="D150" s="34" t="s">
        <v>123</v>
      </c>
      <c r="E150" s="31" t="s">
        <v>226</v>
      </c>
      <c r="F150" s="31" t="s">
        <v>13</v>
      </c>
      <c r="G150" s="26">
        <v>2</v>
      </c>
      <c r="H150" s="9">
        <v>2</v>
      </c>
      <c r="I150" s="9">
        <v>2</v>
      </c>
      <c r="J150" s="27">
        <v>0</v>
      </c>
      <c r="K150" s="27">
        <v>0</v>
      </c>
      <c r="L150" s="27">
        <v>0</v>
      </c>
      <c r="M150" s="27">
        <v>2</v>
      </c>
      <c r="N150" s="27">
        <v>1</v>
      </c>
      <c r="O150" s="27">
        <v>1</v>
      </c>
      <c r="P150" s="27">
        <v>1</v>
      </c>
    </row>
    <row r="151" spans="2:16" ht="38.25" x14ac:dyDescent="0.2">
      <c r="B151" s="25">
        <v>150</v>
      </c>
      <c r="C151" s="39" t="s">
        <v>87</v>
      </c>
      <c r="D151" s="34" t="s">
        <v>123</v>
      </c>
      <c r="E151" s="31" t="s">
        <v>227</v>
      </c>
      <c r="F151" s="31" t="s">
        <v>13</v>
      </c>
      <c r="G151" s="26">
        <v>2</v>
      </c>
      <c r="H151" s="9">
        <v>2</v>
      </c>
      <c r="I151" s="9">
        <v>2</v>
      </c>
      <c r="J151" s="27">
        <v>0</v>
      </c>
      <c r="K151" s="27">
        <v>0</v>
      </c>
      <c r="L151" s="27">
        <v>0</v>
      </c>
      <c r="M151" s="27">
        <v>2</v>
      </c>
      <c r="N151" s="27">
        <v>1</v>
      </c>
      <c r="O151" s="27">
        <v>0</v>
      </c>
      <c r="P151" s="27">
        <v>0</v>
      </c>
    </row>
    <row r="152" spans="2:16" ht="38.25" x14ac:dyDescent="0.2">
      <c r="B152" s="25">
        <v>151</v>
      </c>
      <c r="C152" s="39" t="s">
        <v>228</v>
      </c>
      <c r="D152" s="34" t="s">
        <v>229</v>
      </c>
      <c r="E152" s="31" t="s">
        <v>230</v>
      </c>
      <c r="F152" s="31" t="s">
        <v>13</v>
      </c>
      <c r="G152" s="26">
        <v>2</v>
      </c>
      <c r="H152" s="9">
        <v>1</v>
      </c>
      <c r="I152" s="9">
        <v>2</v>
      </c>
      <c r="J152" s="27">
        <v>1</v>
      </c>
      <c r="K152" s="27">
        <v>0</v>
      </c>
      <c r="L152" s="27">
        <v>0</v>
      </c>
      <c r="M152" s="27">
        <v>2</v>
      </c>
      <c r="N152" s="27">
        <v>0</v>
      </c>
      <c r="O152" s="27">
        <v>0</v>
      </c>
      <c r="P152" s="27">
        <v>0</v>
      </c>
    </row>
    <row r="153" spans="2:16" ht="63.75" x14ac:dyDescent="0.2">
      <c r="B153" s="25">
        <v>152</v>
      </c>
      <c r="C153" s="39" t="s">
        <v>228</v>
      </c>
      <c r="D153" s="34" t="s">
        <v>229</v>
      </c>
      <c r="E153" s="31" t="s">
        <v>231</v>
      </c>
      <c r="F153" s="31" t="s">
        <v>13</v>
      </c>
      <c r="G153" s="26">
        <v>2</v>
      </c>
      <c r="H153" s="9">
        <v>1</v>
      </c>
      <c r="I153" s="9">
        <v>2</v>
      </c>
      <c r="J153" s="27">
        <v>1</v>
      </c>
      <c r="K153" s="27">
        <v>0</v>
      </c>
      <c r="L153" s="27">
        <v>0</v>
      </c>
      <c r="M153" s="27">
        <v>2</v>
      </c>
      <c r="N153" s="27">
        <v>1</v>
      </c>
      <c r="O153" s="27">
        <v>0</v>
      </c>
      <c r="P153" s="27">
        <v>0</v>
      </c>
    </row>
    <row r="154" spans="2:16" ht="89.25" x14ac:dyDescent="0.2">
      <c r="B154" s="25">
        <v>153</v>
      </c>
      <c r="C154" s="39" t="s">
        <v>228</v>
      </c>
      <c r="D154" s="34" t="s">
        <v>229</v>
      </c>
      <c r="E154" s="31" t="s">
        <v>232</v>
      </c>
      <c r="F154" s="31" t="s">
        <v>13</v>
      </c>
      <c r="G154" s="26">
        <v>2</v>
      </c>
      <c r="H154" s="9">
        <v>1</v>
      </c>
      <c r="I154" s="9">
        <v>2</v>
      </c>
      <c r="J154" s="27">
        <v>1</v>
      </c>
      <c r="K154" s="27">
        <v>0</v>
      </c>
      <c r="L154" s="27">
        <v>0</v>
      </c>
      <c r="M154" s="27">
        <v>2</v>
      </c>
      <c r="N154" s="27">
        <v>0</v>
      </c>
      <c r="O154" s="27">
        <v>0</v>
      </c>
      <c r="P154" s="27">
        <v>1</v>
      </c>
    </row>
    <row r="155" spans="2:16" ht="51" x14ac:dyDescent="0.2">
      <c r="B155" s="25">
        <v>154</v>
      </c>
      <c r="C155" s="39" t="s">
        <v>228</v>
      </c>
      <c r="D155" s="34" t="s">
        <v>229</v>
      </c>
      <c r="E155" s="31" t="s">
        <v>233</v>
      </c>
      <c r="F155" s="31" t="s">
        <v>13</v>
      </c>
      <c r="G155" s="26">
        <v>2</v>
      </c>
      <c r="H155" s="9">
        <v>2</v>
      </c>
      <c r="I155" s="9">
        <v>2</v>
      </c>
      <c r="J155" s="27">
        <v>1</v>
      </c>
      <c r="K155" s="27">
        <v>0</v>
      </c>
      <c r="L155" s="27">
        <v>0</v>
      </c>
      <c r="M155" s="27">
        <v>2</v>
      </c>
      <c r="N155" s="27">
        <v>1</v>
      </c>
      <c r="O155" s="27">
        <v>0</v>
      </c>
      <c r="P155" s="27">
        <v>0</v>
      </c>
    </row>
    <row r="156" spans="2:16" ht="38.25" x14ac:dyDescent="0.2">
      <c r="B156" s="25">
        <v>155</v>
      </c>
      <c r="C156" s="39" t="s">
        <v>228</v>
      </c>
      <c r="D156" s="34" t="s">
        <v>229</v>
      </c>
      <c r="E156" s="31" t="s">
        <v>234</v>
      </c>
      <c r="F156" s="31" t="s">
        <v>13</v>
      </c>
      <c r="G156" s="26">
        <v>2</v>
      </c>
      <c r="H156" s="9">
        <v>2</v>
      </c>
      <c r="I156" s="9">
        <v>2</v>
      </c>
      <c r="J156" s="27">
        <v>1</v>
      </c>
      <c r="K156" s="27">
        <v>0</v>
      </c>
      <c r="L156" s="27">
        <v>0</v>
      </c>
      <c r="M156" s="27">
        <v>2</v>
      </c>
      <c r="N156" s="27">
        <v>1</v>
      </c>
      <c r="O156" s="27">
        <v>0</v>
      </c>
      <c r="P156" s="27">
        <v>1</v>
      </c>
    </row>
    <row r="157" spans="2:16" ht="38.25" x14ac:dyDescent="0.2">
      <c r="B157" s="25">
        <v>156</v>
      </c>
      <c r="C157" s="39" t="s">
        <v>228</v>
      </c>
      <c r="D157" s="34" t="s">
        <v>229</v>
      </c>
      <c r="E157" s="31" t="s">
        <v>235</v>
      </c>
      <c r="F157" s="31" t="s">
        <v>13</v>
      </c>
      <c r="G157" s="26">
        <v>2</v>
      </c>
      <c r="H157" s="9">
        <v>1</v>
      </c>
      <c r="I157" s="9">
        <v>2</v>
      </c>
      <c r="J157" s="27">
        <v>1</v>
      </c>
      <c r="K157" s="27">
        <v>0</v>
      </c>
      <c r="L157" s="27">
        <v>0</v>
      </c>
      <c r="M157" s="27">
        <v>2</v>
      </c>
      <c r="N157" s="27">
        <v>0</v>
      </c>
      <c r="O157" s="27">
        <v>0</v>
      </c>
      <c r="P157" s="27">
        <v>0</v>
      </c>
    </row>
    <row r="158" spans="2:16" ht="38.25" x14ac:dyDescent="0.2">
      <c r="B158" s="25">
        <v>157</v>
      </c>
      <c r="C158" s="39" t="s">
        <v>228</v>
      </c>
      <c r="D158" s="34" t="s">
        <v>229</v>
      </c>
      <c r="E158" s="31" t="s">
        <v>236</v>
      </c>
      <c r="F158" s="31" t="s">
        <v>13</v>
      </c>
      <c r="G158" s="26">
        <v>2</v>
      </c>
      <c r="H158" s="9">
        <v>2</v>
      </c>
      <c r="I158" s="9">
        <v>1</v>
      </c>
      <c r="J158" s="27">
        <v>1</v>
      </c>
      <c r="K158" s="27">
        <v>0</v>
      </c>
      <c r="L158" s="27">
        <v>0</v>
      </c>
      <c r="M158" s="27">
        <v>2</v>
      </c>
      <c r="N158" s="27">
        <v>1</v>
      </c>
      <c r="O158" s="27">
        <v>0</v>
      </c>
      <c r="P158" s="27">
        <v>0</v>
      </c>
    </row>
    <row r="159" spans="2:16" ht="38.25" x14ac:dyDescent="0.2">
      <c r="B159" s="25">
        <v>158</v>
      </c>
      <c r="C159" s="39" t="s">
        <v>228</v>
      </c>
      <c r="D159" s="34" t="s">
        <v>229</v>
      </c>
      <c r="E159" s="31" t="s">
        <v>237</v>
      </c>
      <c r="F159" s="31" t="s">
        <v>13</v>
      </c>
      <c r="G159" s="26">
        <v>2</v>
      </c>
      <c r="H159" s="9">
        <v>2</v>
      </c>
      <c r="I159" s="9">
        <v>2</v>
      </c>
      <c r="J159" s="27">
        <v>1</v>
      </c>
      <c r="K159" s="27">
        <v>0</v>
      </c>
      <c r="L159" s="27">
        <v>0</v>
      </c>
      <c r="M159" s="27">
        <v>2</v>
      </c>
      <c r="N159" s="27">
        <v>0</v>
      </c>
      <c r="O159" s="27">
        <v>0</v>
      </c>
      <c r="P159" s="27">
        <v>0</v>
      </c>
    </row>
    <row r="160" spans="2:16" ht="38.25" x14ac:dyDescent="0.2">
      <c r="B160" s="25">
        <v>159</v>
      </c>
      <c r="C160" s="39" t="s">
        <v>228</v>
      </c>
      <c r="D160" s="34" t="s">
        <v>229</v>
      </c>
      <c r="E160" s="31" t="s">
        <v>238</v>
      </c>
      <c r="F160" s="31" t="s">
        <v>13</v>
      </c>
      <c r="G160" s="26">
        <v>2</v>
      </c>
      <c r="H160" s="9">
        <v>2</v>
      </c>
      <c r="I160" s="9">
        <v>0</v>
      </c>
      <c r="J160" s="27">
        <v>1</v>
      </c>
      <c r="K160" s="27">
        <v>0</v>
      </c>
      <c r="L160" s="27">
        <v>0</v>
      </c>
      <c r="M160" s="27">
        <v>2</v>
      </c>
      <c r="N160" s="27">
        <v>1</v>
      </c>
      <c r="O160" s="27">
        <v>0</v>
      </c>
      <c r="P160" s="27">
        <v>0</v>
      </c>
    </row>
    <row r="161" spans="2:16" ht="38.25" x14ac:dyDescent="0.2">
      <c r="B161" s="25">
        <v>160</v>
      </c>
      <c r="C161" s="39" t="s">
        <v>228</v>
      </c>
      <c r="D161" s="34" t="s">
        <v>229</v>
      </c>
      <c r="E161" s="31" t="s">
        <v>239</v>
      </c>
      <c r="F161" s="31" t="s">
        <v>13</v>
      </c>
      <c r="G161" s="26">
        <v>2</v>
      </c>
      <c r="H161" s="9">
        <v>2</v>
      </c>
      <c r="I161" s="9">
        <v>1</v>
      </c>
      <c r="J161" s="27">
        <v>1</v>
      </c>
      <c r="K161" s="27">
        <v>0</v>
      </c>
      <c r="L161" s="27">
        <v>0</v>
      </c>
      <c r="M161" s="27">
        <v>2</v>
      </c>
      <c r="N161" s="27">
        <v>2</v>
      </c>
      <c r="O161" s="27">
        <v>0</v>
      </c>
      <c r="P161" s="27">
        <v>0</v>
      </c>
    </row>
    <row r="162" spans="2:16" ht="38.25" x14ac:dyDescent="0.2">
      <c r="B162" s="25">
        <v>161</v>
      </c>
      <c r="C162" s="39" t="s">
        <v>228</v>
      </c>
      <c r="D162" s="34" t="s">
        <v>229</v>
      </c>
      <c r="E162" s="31" t="s">
        <v>240</v>
      </c>
      <c r="F162" s="31" t="s">
        <v>13</v>
      </c>
      <c r="G162" s="26">
        <v>2</v>
      </c>
      <c r="H162" s="9">
        <v>2</v>
      </c>
      <c r="I162" s="9">
        <v>1</v>
      </c>
      <c r="J162" s="27">
        <v>1</v>
      </c>
      <c r="K162" s="27">
        <v>0</v>
      </c>
      <c r="L162" s="27">
        <v>0</v>
      </c>
      <c r="M162" s="27">
        <v>2</v>
      </c>
      <c r="N162" s="27">
        <v>2</v>
      </c>
      <c r="O162" s="27">
        <v>0</v>
      </c>
      <c r="P162" s="27">
        <v>0</v>
      </c>
    </row>
    <row r="163" spans="2:16" ht="38.25" x14ac:dyDescent="0.2">
      <c r="B163" s="25">
        <v>162</v>
      </c>
      <c r="C163" s="39" t="s">
        <v>228</v>
      </c>
      <c r="D163" s="34" t="s">
        <v>229</v>
      </c>
      <c r="E163" s="31" t="s">
        <v>241</v>
      </c>
      <c r="F163" s="31" t="s">
        <v>13</v>
      </c>
      <c r="G163" s="26">
        <v>2</v>
      </c>
      <c r="H163" s="9">
        <v>2</v>
      </c>
      <c r="I163" s="9">
        <v>1</v>
      </c>
      <c r="J163" s="27">
        <v>1</v>
      </c>
      <c r="K163" s="27">
        <v>0</v>
      </c>
      <c r="L163" s="27">
        <v>0</v>
      </c>
      <c r="M163" s="27">
        <v>2</v>
      </c>
      <c r="N163" s="27">
        <v>2</v>
      </c>
      <c r="O163" s="27">
        <v>0</v>
      </c>
      <c r="P163" s="27">
        <v>0</v>
      </c>
    </row>
    <row r="164" spans="2:16" ht="38.25" x14ac:dyDescent="0.2">
      <c r="B164" s="25">
        <v>163</v>
      </c>
      <c r="C164" s="39" t="s">
        <v>228</v>
      </c>
      <c r="D164" s="34" t="s">
        <v>229</v>
      </c>
      <c r="E164" s="31" t="s">
        <v>242</v>
      </c>
      <c r="F164" s="31" t="s">
        <v>13</v>
      </c>
      <c r="G164" s="26">
        <v>2</v>
      </c>
      <c r="H164" s="9">
        <v>2</v>
      </c>
      <c r="I164" s="9">
        <v>1</v>
      </c>
      <c r="J164" s="27">
        <v>1</v>
      </c>
      <c r="K164" s="27">
        <v>0</v>
      </c>
      <c r="L164" s="27">
        <v>0</v>
      </c>
      <c r="M164" s="27">
        <v>2</v>
      </c>
      <c r="N164" s="27">
        <v>0</v>
      </c>
      <c r="O164" s="27">
        <v>0</v>
      </c>
      <c r="P164" s="27">
        <v>0</v>
      </c>
    </row>
    <row r="165" spans="2:16" ht="38.25" x14ac:dyDescent="0.2">
      <c r="B165" s="25">
        <v>164</v>
      </c>
      <c r="C165" s="39" t="s">
        <v>228</v>
      </c>
      <c r="D165" s="34" t="s">
        <v>229</v>
      </c>
      <c r="E165" s="31" t="s">
        <v>243</v>
      </c>
      <c r="F165" s="31" t="s">
        <v>13</v>
      </c>
      <c r="G165" s="26">
        <v>2</v>
      </c>
      <c r="H165" s="9">
        <v>1</v>
      </c>
      <c r="I165" s="9">
        <v>0</v>
      </c>
      <c r="J165" s="27">
        <v>1</v>
      </c>
      <c r="K165" s="27">
        <v>0</v>
      </c>
      <c r="L165" s="27">
        <v>0</v>
      </c>
      <c r="M165" s="27">
        <v>2</v>
      </c>
      <c r="N165" s="27">
        <v>0</v>
      </c>
      <c r="O165" s="27">
        <v>0</v>
      </c>
      <c r="P165" s="27">
        <v>0</v>
      </c>
    </row>
    <row r="166" spans="2:16" ht="38.25" x14ac:dyDescent="0.2">
      <c r="B166" s="25">
        <v>165</v>
      </c>
      <c r="C166" s="39" t="s">
        <v>228</v>
      </c>
      <c r="D166" s="34" t="s">
        <v>229</v>
      </c>
      <c r="E166" s="31" t="s">
        <v>244</v>
      </c>
      <c r="F166" s="31" t="s">
        <v>13</v>
      </c>
      <c r="G166" s="26">
        <v>2</v>
      </c>
      <c r="H166" s="9">
        <v>1</v>
      </c>
      <c r="I166" s="9">
        <v>0</v>
      </c>
      <c r="J166" s="27">
        <v>1</v>
      </c>
      <c r="K166" s="27">
        <v>0</v>
      </c>
      <c r="L166" s="27">
        <v>0</v>
      </c>
      <c r="M166" s="27">
        <v>2</v>
      </c>
      <c r="N166" s="27">
        <v>0</v>
      </c>
      <c r="O166" s="27">
        <v>0</v>
      </c>
      <c r="P166" s="27">
        <v>0</v>
      </c>
    </row>
    <row r="167" spans="2:16" ht="51" x14ac:dyDescent="0.2">
      <c r="B167" s="25">
        <v>166</v>
      </c>
      <c r="C167" s="39" t="s">
        <v>228</v>
      </c>
      <c r="D167" s="34" t="s">
        <v>229</v>
      </c>
      <c r="E167" s="31" t="s">
        <v>245</v>
      </c>
      <c r="F167" s="31" t="s">
        <v>13</v>
      </c>
      <c r="G167" s="26">
        <v>2</v>
      </c>
      <c r="H167" s="9">
        <v>1</v>
      </c>
      <c r="I167" s="9">
        <v>1</v>
      </c>
      <c r="J167" s="27">
        <v>1</v>
      </c>
      <c r="K167" s="27">
        <v>0</v>
      </c>
      <c r="L167" s="27">
        <v>0</v>
      </c>
      <c r="M167" s="27">
        <v>2</v>
      </c>
      <c r="N167" s="27">
        <v>0</v>
      </c>
      <c r="O167" s="27">
        <v>0</v>
      </c>
      <c r="P167" s="27">
        <v>0</v>
      </c>
    </row>
    <row r="168" spans="2:16" ht="38.25" x14ac:dyDescent="0.2">
      <c r="B168" s="25">
        <v>167</v>
      </c>
      <c r="C168" s="39" t="s">
        <v>228</v>
      </c>
      <c r="D168" s="34" t="s">
        <v>229</v>
      </c>
      <c r="E168" s="31" t="s">
        <v>246</v>
      </c>
      <c r="F168" s="31" t="s">
        <v>13</v>
      </c>
      <c r="G168" s="26">
        <v>2</v>
      </c>
      <c r="H168" s="9">
        <v>1</v>
      </c>
      <c r="I168" s="9">
        <v>1</v>
      </c>
      <c r="J168" s="27">
        <v>1</v>
      </c>
      <c r="K168" s="27">
        <v>0</v>
      </c>
      <c r="L168" s="27">
        <v>0</v>
      </c>
      <c r="M168" s="27">
        <v>2</v>
      </c>
      <c r="N168" s="27">
        <v>0</v>
      </c>
      <c r="O168" s="27">
        <v>0</v>
      </c>
      <c r="P168" s="27">
        <v>0</v>
      </c>
    </row>
    <row r="169" spans="2:16" ht="38.25" x14ac:dyDescent="0.2">
      <c r="B169" s="25">
        <v>168</v>
      </c>
      <c r="C169" s="39" t="s">
        <v>228</v>
      </c>
      <c r="D169" s="34" t="s">
        <v>229</v>
      </c>
      <c r="E169" s="31" t="s">
        <v>247</v>
      </c>
      <c r="F169" s="31" t="s">
        <v>13</v>
      </c>
      <c r="G169" s="26">
        <v>2</v>
      </c>
      <c r="H169" s="9">
        <v>0</v>
      </c>
      <c r="I169" s="9">
        <v>1</v>
      </c>
      <c r="J169" s="27">
        <v>1</v>
      </c>
      <c r="K169" s="27">
        <v>0</v>
      </c>
      <c r="L169" s="27">
        <v>0</v>
      </c>
      <c r="M169" s="27">
        <v>2</v>
      </c>
      <c r="N169" s="27">
        <v>0</v>
      </c>
      <c r="O169" s="27">
        <v>0</v>
      </c>
      <c r="P169" s="27">
        <v>0</v>
      </c>
    </row>
    <row r="170" spans="2:16" ht="38.25" x14ac:dyDescent="0.2">
      <c r="B170" s="25">
        <v>169</v>
      </c>
      <c r="C170" s="39" t="s">
        <v>228</v>
      </c>
      <c r="D170" s="34" t="s">
        <v>229</v>
      </c>
      <c r="E170" s="31" t="s">
        <v>248</v>
      </c>
      <c r="F170" s="31" t="s">
        <v>13</v>
      </c>
      <c r="G170" s="26">
        <v>2</v>
      </c>
      <c r="H170" s="9">
        <v>2</v>
      </c>
      <c r="I170" s="9">
        <v>2</v>
      </c>
      <c r="J170" s="27">
        <v>1</v>
      </c>
      <c r="K170" s="27">
        <v>0</v>
      </c>
      <c r="L170" s="27">
        <v>0</v>
      </c>
      <c r="M170" s="27">
        <v>2</v>
      </c>
      <c r="N170" s="27">
        <v>1</v>
      </c>
      <c r="O170" s="27">
        <v>0</v>
      </c>
      <c r="P170" s="27">
        <v>0</v>
      </c>
    </row>
    <row r="171" spans="2:16" ht="38.25" x14ac:dyDescent="0.2">
      <c r="B171" s="25">
        <v>170</v>
      </c>
      <c r="C171" s="39" t="s">
        <v>228</v>
      </c>
      <c r="D171" s="34" t="s">
        <v>229</v>
      </c>
      <c r="E171" s="31" t="s">
        <v>249</v>
      </c>
      <c r="F171" s="31" t="s">
        <v>13</v>
      </c>
      <c r="G171" s="26">
        <v>2</v>
      </c>
      <c r="H171" s="9">
        <v>2</v>
      </c>
      <c r="I171" s="9">
        <v>2</v>
      </c>
      <c r="J171" s="27">
        <v>1</v>
      </c>
      <c r="K171" s="27">
        <v>0</v>
      </c>
      <c r="L171" s="27">
        <v>0</v>
      </c>
      <c r="M171" s="27">
        <v>2</v>
      </c>
      <c r="N171" s="27">
        <v>1</v>
      </c>
      <c r="O171" s="27">
        <v>0</v>
      </c>
      <c r="P171" s="27">
        <v>1</v>
      </c>
    </row>
    <row r="172" spans="2:16" ht="38.25" x14ac:dyDescent="0.2">
      <c r="B172" s="25">
        <v>171</v>
      </c>
      <c r="C172" s="39" t="s">
        <v>228</v>
      </c>
      <c r="D172" s="34" t="s">
        <v>229</v>
      </c>
      <c r="E172" s="31" t="s">
        <v>250</v>
      </c>
      <c r="F172" s="31" t="s">
        <v>13</v>
      </c>
      <c r="G172" s="26">
        <v>2</v>
      </c>
      <c r="H172" s="9">
        <v>1</v>
      </c>
      <c r="I172" s="9">
        <v>1</v>
      </c>
      <c r="J172" s="27">
        <v>1</v>
      </c>
      <c r="K172" s="27">
        <v>0</v>
      </c>
      <c r="L172" s="27">
        <v>0</v>
      </c>
      <c r="M172" s="27">
        <v>2</v>
      </c>
      <c r="N172" s="27">
        <v>0</v>
      </c>
      <c r="O172" s="27">
        <v>0</v>
      </c>
      <c r="P172" s="27">
        <v>0</v>
      </c>
    </row>
    <row r="173" spans="2:16" ht="38.25" x14ac:dyDescent="0.2">
      <c r="B173" s="25">
        <v>172</v>
      </c>
      <c r="C173" s="39" t="s">
        <v>228</v>
      </c>
      <c r="D173" s="34" t="s">
        <v>229</v>
      </c>
      <c r="E173" s="31" t="s">
        <v>251</v>
      </c>
      <c r="F173" s="31" t="s">
        <v>13</v>
      </c>
      <c r="G173" s="26">
        <v>2</v>
      </c>
      <c r="H173" s="9">
        <v>2</v>
      </c>
      <c r="I173" s="9">
        <v>2</v>
      </c>
      <c r="J173" s="27">
        <v>1</v>
      </c>
      <c r="K173" s="27">
        <v>0</v>
      </c>
      <c r="L173" s="27">
        <v>0</v>
      </c>
      <c r="M173" s="27">
        <v>2</v>
      </c>
      <c r="N173" s="27">
        <v>1</v>
      </c>
      <c r="O173" s="27">
        <v>0</v>
      </c>
      <c r="P173" s="27">
        <v>0</v>
      </c>
    </row>
    <row r="174" spans="2:16" ht="38.25" x14ac:dyDescent="0.2">
      <c r="B174" s="25">
        <v>173</v>
      </c>
      <c r="C174" s="39" t="s">
        <v>228</v>
      </c>
      <c r="D174" s="34" t="s">
        <v>229</v>
      </c>
      <c r="E174" s="31" t="s">
        <v>252</v>
      </c>
      <c r="F174" s="31" t="s">
        <v>13</v>
      </c>
      <c r="G174" s="26">
        <v>2</v>
      </c>
      <c r="H174" s="9">
        <v>2</v>
      </c>
      <c r="I174" s="9">
        <v>1</v>
      </c>
      <c r="J174" s="27">
        <v>1</v>
      </c>
      <c r="K174" s="27">
        <v>0</v>
      </c>
      <c r="L174" s="27">
        <v>0</v>
      </c>
      <c r="M174" s="27">
        <v>2</v>
      </c>
      <c r="N174" s="27">
        <v>1</v>
      </c>
      <c r="O174" s="27">
        <v>0</v>
      </c>
      <c r="P174" s="27">
        <v>0</v>
      </c>
    </row>
    <row r="175" spans="2:16" ht="102" x14ac:dyDescent="0.2">
      <c r="B175" s="25">
        <v>174</v>
      </c>
      <c r="C175" s="39" t="s">
        <v>228</v>
      </c>
      <c r="D175" s="34" t="s">
        <v>229</v>
      </c>
      <c r="E175" s="31" t="s">
        <v>253</v>
      </c>
      <c r="F175" s="31" t="s">
        <v>13</v>
      </c>
      <c r="G175" s="26">
        <v>2</v>
      </c>
      <c r="H175" s="9">
        <v>2</v>
      </c>
      <c r="I175" s="9">
        <v>1</v>
      </c>
      <c r="J175" s="27">
        <v>1</v>
      </c>
      <c r="K175" s="27">
        <v>0</v>
      </c>
      <c r="L175" s="27">
        <v>0</v>
      </c>
      <c r="M175" s="27">
        <v>2</v>
      </c>
      <c r="N175" s="27">
        <v>1</v>
      </c>
      <c r="O175" s="27">
        <v>0</v>
      </c>
      <c r="P175" s="27">
        <v>0</v>
      </c>
    </row>
    <row r="176" spans="2:16" ht="127.5" x14ac:dyDescent="0.2">
      <c r="B176" s="25">
        <v>175</v>
      </c>
      <c r="C176" s="39" t="s">
        <v>228</v>
      </c>
      <c r="D176" s="34" t="s">
        <v>229</v>
      </c>
      <c r="E176" s="31" t="s">
        <v>254</v>
      </c>
      <c r="F176" s="31" t="s">
        <v>13</v>
      </c>
      <c r="G176" s="26">
        <v>2</v>
      </c>
      <c r="H176" s="9">
        <v>1</v>
      </c>
      <c r="I176" s="9">
        <v>1</v>
      </c>
      <c r="J176" s="27">
        <v>1</v>
      </c>
      <c r="K176" s="27">
        <v>0</v>
      </c>
      <c r="L176" s="27">
        <v>0</v>
      </c>
      <c r="M176" s="27">
        <v>2</v>
      </c>
      <c r="N176" s="27">
        <v>0</v>
      </c>
      <c r="O176" s="27">
        <v>0</v>
      </c>
      <c r="P176" s="27">
        <v>0</v>
      </c>
    </row>
    <row r="177" spans="2:16" ht="38.25" x14ac:dyDescent="0.2">
      <c r="B177" s="25">
        <v>176</v>
      </c>
      <c r="C177" s="39" t="s">
        <v>228</v>
      </c>
      <c r="D177" s="34" t="s">
        <v>229</v>
      </c>
      <c r="E177" s="31" t="s">
        <v>255</v>
      </c>
      <c r="F177" s="31" t="s">
        <v>13</v>
      </c>
      <c r="G177" s="26">
        <v>2</v>
      </c>
      <c r="H177" s="9">
        <v>1</v>
      </c>
      <c r="I177" s="9">
        <v>0</v>
      </c>
      <c r="J177" s="27">
        <v>1</v>
      </c>
      <c r="K177" s="27">
        <v>0</v>
      </c>
      <c r="L177" s="27">
        <v>0</v>
      </c>
      <c r="M177" s="27">
        <v>2</v>
      </c>
      <c r="N177" s="27">
        <v>0</v>
      </c>
      <c r="O177" s="27">
        <v>0</v>
      </c>
      <c r="P177" s="27">
        <v>9.9999999999995596E-3</v>
      </c>
    </row>
    <row r="178" spans="2:16" ht="38.25" x14ac:dyDescent="0.2">
      <c r="B178" s="25">
        <v>177</v>
      </c>
      <c r="C178" s="39" t="s">
        <v>228</v>
      </c>
      <c r="D178" s="34" t="s">
        <v>229</v>
      </c>
      <c r="E178" s="31" t="s">
        <v>256</v>
      </c>
      <c r="F178" s="31" t="s">
        <v>13</v>
      </c>
      <c r="G178" s="26">
        <v>2</v>
      </c>
      <c r="H178" s="9">
        <v>2</v>
      </c>
      <c r="I178" s="9">
        <v>0</v>
      </c>
      <c r="J178" s="27">
        <v>1</v>
      </c>
      <c r="K178" s="27">
        <v>0</v>
      </c>
      <c r="L178" s="27">
        <v>0</v>
      </c>
      <c r="M178" s="27">
        <v>2</v>
      </c>
      <c r="N178" s="27">
        <v>0</v>
      </c>
      <c r="O178" s="27">
        <v>0</v>
      </c>
      <c r="P178" s="27">
        <v>1.5384615384615699E-3</v>
      </c>
    </row>
    <row r="179" spans="2:16" ht="51" x14ac:dyDescent="0.2">
      <c r="B179" s="25">
        <v>178</v>
      </c>
      <c r="C179" s="39" t="s">
        <v>228</v>
      </c>
      <c r="D179" s="34" t="s">
        <v>229</v>
      </c>
      <c r="E179" s="31" t="s">
        <v>257</v>
      </c>
      <c r="F179" s="31" t="s">
        <v>13</v>
      </c>
      <c r="G179" s="26">
        <v>2</v>
      </c>
      <c r="H179" s="9">
        <v>1</v>
      </c>
      <c r="I179" s="9">
        <v>0</v>
      </c>
      <c r="J179" s="27">
        <v>1</v>
      </c>
      <c r="K179" s="27">
        <v>0</v>
      </c>
      <c r="L179" s="27">
        <v>0</v>
      </c>
      <c r="M179" s="27">
        <v>2</v>
      </c>
      <c r="N179" s="27">
        <v>0</v>
      </c>
      <c r="O179" s="27">
        <v>0</v>
      </c>
      <c r="P179" s="27">
        <v>-6.9230769230774203E-3</v>
      </c>
    </row>
    <row r="180" spans="2:16" ht="102" x14ac:dyDescent="0.2">
      <c r="B180" s="25">
        <v>179</v>
      </c>
      <c r="C180" s="39" t="s">
        <v>228</v>
      </c>
      <c r="D180" s="34" t="s">
        <v>229</v>
      </c>
      <c r="E180" s="31" t="s">
        <v>258</v>
      </c>
      <c r="F180" s="31" t="s">
        <v>13</v>
      </c>
      <c r="G180" s="26">
        <v>2</v>
      </c>
      <c r="H180" s="9">
        <v>1</v>
      </c>
      <c r="I180" s="9">
        <v>0</v>
      </c>
      <c r="J180" s="27">
        <v>1</v>
      </c>
      <c r="K180" s="27">
        <v>0</v>
      </c>
      <c r="L180" s="27">
        <v>0</v>
      </c>
      <c r="M180" s="27">
        <v>2</v>
      </c>
      <c r="N180" s="27">
        <v>0</v>
      </c>
      <c r="O180" s="27">
        <v>0</v>
      </c>
      <c r="P180" s="27">
        <v>-1.5384615384615399E-2</v>
      </c>
    </row>
    <row r="181" spans="2:16" ht="89.25" x14ac:dyDescent="0.2">
      <c r="B181" s="25">
        <v>180</v>
      </c>
      <c r="C181" s="40" t="s">
        <v>259</v>
      </c>
      <c r="D181" s="34" t="s">
        <v>260</v>
      </c>
      <c r="E181" s="31" t="s">
        <v>261</v>
      </c>
      <c r="F181" s="31" t="s">
        <v>13</v>
      </c>
      <c r="G181" s="26">
        <v>2</v>
      </c>
      <c r="H181" s="9">
        <v>2</v>
      </c>
      <c r="I181" s="9">
        <v>0</v>
      </c>
      <c r="J181" s="27">
        <v>1</v>
      </c>
      <c r="K181" s="27">
        <v>0</v>
      </c>
      <c r="L181" s="27">
        <v>0</v>
      </c>
      <c r="M181" s="27">
        <v>2</v>
      </c>
      <c r="N181" s="27">
        <v>1</v>
      </c>
      <c r="O181" s="27">
        <v>1</v>
      </c>
      <c r="P181" s="27">
        <v>0</v>
      </c>
    </row>
    <row r="182" spans="2:16" ht="216.75" x14ac:dyDescent="0.2">
      <c r="B182" s="25">
        <v>181</v>
      </c>
      <c r="C182" s="40" t="s">
        <v>259</v>
      </c>
      <c r="D182" s="34" t="s">
        <v>260</v>
      </c>
      <c r="E182" s="31" t="s">
        <v>262</v>
      </c>
      <c r="F182" s="31" t="s">
        <v>13</v>
      </c>
      <c r="G182" s="26">
        <v>2</v>
      </c>
      <c r="H182" s="9">
        <v>1</v>
      </c>
      <c r="I182" s="9">
        <v>0</v>
      </c>
      <c r="J182" s="27">
        <v>1</v>
      </c>
      <c r="K182" s="27">
        <v>0</v>
      </c>
      <c r="L182" s="27">
        <v>0</v>
      </c>
      <c r="M182" s="27">
        <v>2</v>
      </c>
      <c r="N182" s="27">
        <v>1</v>
      </c>
      <c r="O182" s="27">
        <v>1</v>
      </c>
      <c r="P182" s="27">
        <v>0</v>
      </c>
    </row>
    <row r="183" spans="2:16" ht="38.25" x14ac:dyDescent="0.2">
      <c r="B183" s="25">
        <v>182</v>
      </c>
      <c r="C183" s="40" t="s">
        <v>259</v>
      </c>
      <c r="D183" s="34" t="s">
        <v>260</v>
      </c>
      <c r="E183" s="31" t="s">
        <v>263</v>
      </c>
      <c r="F183" s="31" t="s">
        <v>13</v>
      </c>
      <c r="G183" s="26">
        <v>2</v>
      </c>
      <c r="H183" s="9">
        <v>2</v>
      </c>
      <c r="I183" s="9">
        <v>0</v>
      </c>
      <c r="J183" s="27">
        <v>1</v>
      </c>
      <c r="K183" s="27">
        <v>0</v>
      </c>
      <c r="L183" s="27">
        <v>0</v>
      </c>
      <c r="M183" s="27">
        <v>2</v>
      </c>
      <c r="N183" s="27">
        <v>0</v>
      </c>
      <c r="O183" s="27">
        <v>1</v>
      </c>
      <c r="P183" s="27">
        <v>0</v>
      </c>
    </row>
    <row r="184" spans="2:16" ht="38.25" x14ac:dyDescent="0.2">
      <c r="B184" s="25">
        <v>183</v>
      </c>
      <c r="C184" s="40" t="s">
        <v>259</v>
      </c>
      <c r="D184" s="34" t="s">
        <v>260</v>
      </c>
      <c r="E184" s="31" t="s">
        <v>264</v>
      </c>
      <c r="F184" s="31" t="s">
        <v>13</v>
      </c>
      <c r="G184" s="26">
        <v>2</v>
      </c>
      <c r="H184" s="9">
        <v>2</v>
      </c>
      <c r="I184" s="9">
        <v>1</v>
      </c>
      <c r="J184" s="27">
        <v>1</v>
      </c>
      <c r="K184" s="27">
        <v>0</v>
      </c>
      <c r="L184" s="27">
        <v>0</v>
      </c>
      <c r="M184" s="27">
        <v>2</v>
      </c>
      <c r="N184" s="27">
        <v>0</v>
      </c>
      <c r="O184" s="27">
        <v>1</v>
      </c>
      <c r="P184" s="27">
        <v>0</v>
      </c>
    </row>
    <row r="185" spans="2:16" ht="114.75" x14ac:dyDescent="0.2">
      <c r="B185" s="25">
        <v>184</v>
      </c>
      <c r="C185" s="40" t="s">
        <v>259</v>
      </c>
      <c r="D185" s="34" t="s">
        <v>260</v>
      </c>
      <c r="E185" s="31" t="s">
        <v>265</v>
      </c>
      <c r="F185" s="31" t="s">
        <v>13</v>
      </c>
      <c r="G185" s="26">
        <v>2</v>
      </c>
      <c r="H185" s="9">
        <v>1</v>
      </c>
      <c r="I185" s="9">
        <v>1</v>
      </c>
      <c r="J185" s="27">
        <v>1</v>
      </c>
      <c r="K185" s="27">
        <v>0</v>
      </c>
      <c r="L185" s="27">
        <v>0</v>
      </c>
      <c r="M185" s="27">
        <v>2</v>
      </c>
      <c r="N185" s="27">
        <v>0</v>
      </c>
      <c r="O185" s="27">
        <v>1</v>
      </c>
      <c r="P185" s="27">
        <v>0</v>
      </c>
    </row>
    <row r="186" spans="2:16" ht="102" x14ac:dyDescent="0.2">
      <c r="B186" s="25">
        <v>185</v>
      </c>
      <c r="C186" s="40" t="s">
        <v>259</v>
      </c>
      <c r="D186" s="34" t="s">
        <v>260</v>
      </c>
      <c r="E186" s="35" t="s">
        <v>266</v>
      </c>
      <c r="F186" s="31" t="s">
        <v>13</v>
      </c>
      <c r="G186" s="26">
        <v>2</v>
      </c>
      <c r="H186" s="9">
        <v>1</v>
      </c>
      <c r="I186" s="9">
        <v>2</v>
      </c>
      <c r="J186" s="27">
        <v>2</v>
      </c>
      <c r="K186" s="27">
        <v>0</v>
      </c>
      <c r="L186" s="27">
        <v>0</v>
      </c>
      <c r="M186" s="27">
        <v>2</v>
      </c>
      <c r="N186" s="27">
        <v>0</v>
      </c>
      <c r="O186" s="27">
        <v>1</v>
      </c>
      <c r="P186" s="27">
        <v>0</v>
      </c>
    </row>
    <row r="187" spans="2:16" ht="38.25" x14ac:dyDescent="0.2">
      <c r="B187" s="25">
        <v>186</v>
      </c>
      <c r="C187" s="40" t="s">
        <v>259</v>
      </c>
      <c r="D187" s="34" t="s">
        <v>260</v>
      </c>
      <c r="E187" s="31" t="s">
        <v>267</v>
      </c>
      <c r="F187" s="31" t="s">
        <v>13</v>
      </c>
      <c r="G187" s="26">
        <v>2</v>
      </c>
      <c r="H187" s="9">
        <v>2</v>
      </c>
      <c r="I187" s="9">
        <v>0</v>
      </c>
      <c r="J187" s="27">
        <v>1</v>
      </c>
      <c r="K187" s="27">
        <v>0</v>
      </c>
      <c r="L187" s="27">
        <v>0</v>
      </c>
      <c r="M187" s="27">
        <v>2</v>
      </c>
      <c r="N187" s="27">
        <v>1</v>
      </c>
      <c r="O187" s="27">
        <v>1</v>
      </c>
      <c r="P187" s="27">
        <v>1</v>
      </c>
    </row>
    <row r="188" spans="2:16" ht="38.25" x14ac:dyDescent="0.2">
      <c r="B188" s="25">
        <v>187</v>
      </c>
      <c r="C188" s="40" t="s">
        <v>259</v>
      </c>
      <c r="D188" s="34" t="s">
        <v>260</v>
      </c>
      <c r="E188" s="31" t="s">
        <v>268</v>
      </c>
      <c r="F188" s="31" t="s">
        <v>13</v>
      </c>
      <c r="G188" s="26">
        <v>2</v>
      </c>
      <c r="H188" s="9">
        <v>1</v>
      </c>
      <c r="I188" s="9">
        <v>1</v>
      </c>
      <c r="J188" s="27">
        <v>1</v>
      </c>
      <c r="K188" s="27">
        <v>0</v>
      </c>
      <c r="L188" s="27">
        <v>0</v>
      </c>
      <c r="M188" s="27">
        <v>2</v>
      </c>
      <c r="N188" s="27">
        <v>1</v>
      </c>
      <c r="O188" s="27">
        <v>1</v>
      </c>
      <c r="P188" s="27">
        <v>0</v>
      </c>
    </row>
    <row r="189" spans="2:16" ht="127.5" x14ac:dyDescent="0.2">
      <c r="B189" s="25">
        <v>188</v>
      </c>
      <c r="C189" s="40" t="s">
        <v>259</v>
      </c>
      <c r="D189" s="34" t="s">
        <v>260</v>
      </c>
      <c r="E189" s="35" t="s">
        <v>269</v>
      </c>
      <c r="F189" s="31" t="s">
        <v>13</v>
      </c>
      <c r="G189" s="26">
        <v>2</v>
      </c>
      <c r="H189" s="9">
        <v>2</v>
      </c>
      <c r="I189" s="9">
        <v>0</v>
      </c>
      <c r="J189" s="27">
        <v>1</v>
      </c>
      <c r="K189" s="27">
        <v>0</v>
      </c>
      <c r="L189" s="27">
        <v>1</v>
      </c>
      <c r="M189" s="27">
        <v>2</v>
      </c>
      <c r="N189" s="27">
        <v>1</v>
      </c>
      <c r="O189" s="27">
        <v>1</v>
      </c>
      <c r="P189" s="27">
        <v>1</v>
      </c>
    </row>
    <row r="190" spans="2:16" ht="63.75" x14ac:dyDescent="0.2">
      <c r="B190" s="25">
        <v>189</v>
      </c>
      <c r="C190" s="40" t="s">
        <v>259</v>
      </c>
      <c r="D190" s="34" t="s">
        <v>260</v>
      </c>
      <c r="E190" s="31" t="s">
        <v>270</v>
      </c>
      <c r="F190" s="31" t="s">
        <v>13</v>
      </c>
      <c r="G190" s="26">
        <v>2</v>
      </c>
      <c r="H190" s="9">
        <v>2</v>
      </c>
      <c r="I190" s="9">
        <v>0</v>
      </c>
      <c r="J190" s="27">
        <v>1</v>
      </c>
      <c r="K190" s="27">
        <v>0</v>
      </c>
      <c r="L190" s="27">
        <v>0</v>
      </c>
      <c r="M190" s="27">
        <v>2</v>
      </c>
      <c r="N190" s="27">
        <v>1</v>
      </c>
      <c r="O190" s="27">
        <v>1</v>
      </c>
      <c r="P190" s="27">
        <v>1</v>
      </c>
    </row>
    <row r="191" spans="2:16" ht="38.25" x14ac:dyDescent="0.2">
      <c r="B191" s="25">
        <v>190</v>
      </c>
      <c r="C191" s="40" t="s">
        <v>259</v>
      </c>
      <c r="D191" s="34" t="s">
        <v>260</v>
      </c>
      <c r="E191" s="31" t="s">
        <v>271</v>
      </c>
      <c r="F191" s="31" t="s">
        <v>13</v>
      </c>
      <c r="G191" s="26">
        <v>2</v>
      </c>
      <c r="H191" s="9">
        <v>2</v>
      </c>
      <c r="I191" s="9">
        <v>0</v>
      </c>
      <c r="J191" s="27">
        <v>1</v>
      </c>
      <c r="K191" s="27">
        <v>0</v>
      </c>
      <c r="L191" s="27">
        <v>0</v>
      </c>
      <c r="M191" s="27">
        <v>2</v>
      </c>
      <c r="N191" s="27">
        <v>1</v>
      </c>
      <c r="O191" s="27">
        <v>1</v>
      </c>
      <c r="P191" s="27">
        <v>2</v>
      </c>
    </row>
    <row r="192" spans="2:16" ht="51" x14ac:dyDescent="0.2">
      <c r="B192" s="25">
        <v>191</v>
      </c>
      <c r="C192" s="40" t="s">
        <v>259</v>
      </c>
      <c r="D192" s="34" t="s">
        <v>260</v>
      </c>
      <c r="E192" s="35" t="s">
        <v>272</v>
      </c>
      <c r="F192" s="31" t="s">
        <v>13</v>
      </c>
      <c r="G192" s="26">
        <v>2</v>
      </c>
      <c r="H192" s="9">
        <v>1</v>
      </c>
      <c r="I192" s="9">
        <v>2</v>
      </c>
      <c r="J192" s="27">
        <v>1</v>
      </c>
      <c r="K192" s="27">
        <v>0</v>
      </c>
      <c r="L192" s="27">
        <v>0</v>
      </c>
      <c r="M192" s="27">
        <v>2</v>
      </c>
      <c r="N192" s="27">
        <v>0</v>
      </c>
      <c r="O192" s="27">
        <v>1</v>
      </c>
      <c r="P192" s="27">
        <v>0</v>
      </c>
    </row>
    <row r="193" spans="2:16" ht="38.25" x14ac:dyDescent="0.2">
      <c r="B193" s="25">
        <v>192</v>
      </c>
      <c r="C193" s="40" t="s">
        <v>259</v>
      </c>
      <c r="D193" s="34" t="s">
        <v>260</v>
      </c>
      <c r="E193" s="31" t="s">
        <v>273</v>
      </c>
      <c r="F193" s="31" t="s">
        <v>13</v>
      </c>
      <c r="G193" s="26">
        <v>2</v>
      </c>
      <c r="H193" s="9">
        <v>1</v>
      </c>
      <c r="I193" s="9">
        <v>2</v>
      </c>
      <c r="J193" s="27">
        <v>1</v>
      </c>
      <c r="K193" s="27">
        <v>0</v>
      </c>
      <c r="L193" s="27">
        <v>0</v>
      </c>
      <c r="M193" s="27">
        <v>2</v>
      </c>
      <c r="N193" s="27">
        <v>1</v>
      </c>
      <c r="O193" s="27">
        <v>1</v>
      </c>
      <c r="P193" s="27">
        <v>0</v>
      </c>
    </row>
    <row r="194" spans="2:16" ht="51" x14ac:dyDescent="0.2">
      <c r="B194" s="25">
        <v>193</v>
      </c>
      <c r="C194" s="40" t="s">
        <v>259</v>
      </c>
      <c r="D194" s="34" t="s">
        <v>260</v>
      </c>
      <c r="E194" s="31" t="s">
        <v>274</v>
      </c>
      <c r="F194" s="31" t="s">
        <v>13</v>
      </c>
      <c r="G194" s="26">
        <v>2</v>
      </c>
      <c r="H194" s="9">
        <v>1</v>
      </c>
      <c r="I194" s="9">
        <v>1</v>
      </c>
      <c r="J194" s="27">
        <v>1</v>
      </c>
      <c r="K194" s="27">
        <v>0</v>
      </c>
      <c r="L194" s="27">
        <v>0</v>
      </c>
      <c r="M194" s="27">
        <v>2</v>
      </c>
      <c r="N194" s="27">
        <v>0</v>
      </c>
      <c r="O194" s="27">
        <v>1</v>
      </c>
      <c r="P194" s="27">
        <v>2</v>
      </c>
    </row>
    <row r="195" spans="2:16" ht="76.5" x14ac:dyDescent="0.2">
      <c r="B195" s="25">
        <v>194</v>
      </c>
      <c r="C195" s="40" t="s">
        <v>259</v>
      </c>
      <c r="D195" s="34" t="s">
        <v>260</v>
      </c>
      <c r="E195" s="31" t="s">
        <v>275</v>
      </c>
      <c r="F195" s="31" t="s">
        <v>13</v>
      </c>
      <c r="G195" s="26">
        <v>2</v>
      </c>
      <c r="H195" s="9">
        <v>2</v>
      </c>
      <c r="I195" s="9">
        <v>2</v>
      </c>
      <c r="J195" s="27">
        <v>1</v>
      </c>
      <c r="K195" s="27">
        <v>0</v>
      </c>
      <c r="L195" s="27">
        <v>0</v>
      </c>
      <c r="M195" s="27">
        <v>2</v>
      </c>
      <c r="N195" s="27">
        <v>2</v>
      </c>
      <c r="O195" s="27">
        <v>1</v>
      </c>
      <c r="P195" s="27">
        <v>0</v>
      </c>
    </row>
    <row r="196" spans="2:16" ht="38.25" x14ac:dyDescent="0.2">
      <c r="B196" s="25">
        <v>195</v>
      </c>
      <c r="C196" s="40" t="s">
        <v>259</v>
      </c>
      <c r="D196" s="34" t="s">
        <v>260</v>
      </c>
      <c r="E196" s="31" t="s">
        <v>276</v>
      </c>
      <c r="F196" s="31" t="s">
        <v>13</v>
      </c>
      <c r="G196" s="26">
        <v>2</v>
      </c>
      <c r="H196" s="9">
        <v>2</v>
      </c>
      <c r="I196" s="9">
        <v>1</v>
      </c>
      <c r="J196" s="27">
        <v>1</v>
      </c>
      <c r="K196" s="27">
        <v>0</v>
      </c>
      <c r="L196" s="27">
        <v>0</v>
      </c>
      <c r="M196" s="27">
        <v>2</v>
      </c>
      <c r="N196" s="27">
        <v>2</v>
      </c>
      <c r="O196" s="27">
        <v>1</v>
      </c>
      <c r="P196" s="27">
        <v>0</v>
      </c>
    </row>
    <row r="197" spans="2:16" ht="38.25" x14ac:dyDescent="0.2">
      <c r="B197" s="25">
        <v>196</v>
      </c>
      <c r="C197" s="40" t="s">
        <v>259</v>
      </c>
      <c r="D197" s="34" t="s">
        <v>260</v>
      </c>
      <c r="E197" s="31" t="s">
        <v>277</v>
      </c>
      <c r="F197" s="31" t="s">
        <v>13</v>
      </c>
      <c r="G197" s="26">
        <v>2</v>
      </c>
      <c r="H197" s="9">
        <v>2</v>
      </c>
      <c r="I197" s="9">
        <v>2</v>
      </c>
      <c r="J197" s="27">
        <v>2</v>
      </c>
      <c r="K197" s="27">
        <v>0</v>
      </c>
      <c r="L197" s="27">
        <v>0</v>
      </c>
      <c r="M197" s="27">
        <v>2</v>
      </c>
      <c r="N197" s="27">
        <v>0</v>
      </c>
      <c r="O197" s="27">
        <v>1</v>
      </c>
      <c r="P197" s="27">
        <v>0</v>
      </c>
    </row>
    <row r="198" spans="2:16" ht="51" x14ac:dyDescent="0.2">
      <c r="B198" s="25">
        <v>197</v>
      </c>
      <c r="C198" s="39" t="s">
        <v>278</v>
      </c>
      <c r="D198" s="34" t="s">
        <v>279</v>
      </c>
      <c r="E198" s="31" t="s">
        <v>280</v>
      </c>
      <c r="F198" s="31" t="s">
        <v>13</v>
      </c>
      <c r="G198" s="26">
        <v>2</v>
      </c>
      <c r="H198" s="9">
        <v>2</v>
      </c>
      <c r="I198" s="9">
        <v>2</v>
      </c>
      <c r="J198" s="27">
        <v>1</v>
      </c>
      <c r="K198" s="27">
        <v>0</v>
      </c>
      <c r="L198" s="27">
        <v>0</v>
      </c>
      <c r="M198" s="27">
        <v>2</v>
      </c>
      <c r="N198" s="27">
        <v>1</v>
      </c>
      <c r="O198" s="27">
        <v>1</v>
      </c>
      <c r="P198" s="27">
        <v>1</v>
      </c>
    </row>
    <row r="199" spans="2:16" ht="51" x14ac:dyDescent="0.2">
      <c r="B199" s="25">
        <v>198</v>
      </c>
      <c r="C199" s="39" t="s">
        <v>278</v>
      </c>
      <c r="D199" s="34" t="s">
        <v>279</v>
      </c>
      <c r="E199" s="31" t="s">
        <v>281</v>
      </c>
      <c r="F199" s="31" t="s">
        <v>13</v>
      </c>
      <c r="G199" s="26">
        <v>2</v>
      </c>
      <c r="H199" s="9">
        <v>2</v>
      </c>
      <c r="I199" s="9">
        <v>0</v>
      </c>
      <c r="J199" s="27">
        <v>1</v>
      </c>
      <c r="K199" s="27">
        <v>0</v>
      </c>
      <c r="L199" s="27">
        <v>0</v>
      </c>
      <c r="M199" s="27">
        <v>2</v>
      </c>
      <c r="N199" s="27">
        <v>0</v>
      </c>
      <c r="O199" s="27">
        <v>1</v>
      </c>
      <c r="P199" s="27">
        <v>0</v>
      </c>
    </row>
    <row r="200" spans="2:16" ht="51" x14ac:dyDescent="0.2">
      <c r="B200" s="25">
        <v>199</v>
      </c>
      <c r="C200" s="39" t="s">
        <v>278</v>
      </c>
      <c r="D200" s="34" t="s">
        <v>279</v>
      </c>
      <c r="E200" s="31" t="s">
        <v>282</v>
      </c>
      <c r="F200" s="31" t="s">
        <v>13</v>
      </c>
      <c r="G200" s="26">
        <v>2</v>
      </c>
      <c r="H200" s="9">
        <v>2</v>
      </c>
      <c r="I200" s="9">
        <v>0</v>
      </c>
      <c r="J200" s="27">
        <v>1</v>
      </c>
      <c r="K200" s="27">
        <v>0</v>
      </c>
      <c r="L200" s="27">
        <v>0</v>
      </c>
      <c r="M200" s="27">
        <v>2</v>
      </c>
      <c r="N200" s="27">
        <v>0</v>
      </c>
      <c r="O200" s="27">
        <v>1</v>
      </c>
      <c r="P200" s="27">
        <v>0</v>
      </c>
    </row>
    <row r="201" spans="2:16" ht="51" x14ac:dyDescent="0.2">
      <c r="B201" s="25">
        <v>200</v>
      </c>
      <c r="C201" s="39" t="s">
        <v>278</v>
      </c>
      <c r="D201" s="34" t="s">
        <v>279</v>
      </c>
      <c r="E201" s="31" t="s">
        <v>283</v>
      </c>
      <c r="F201" s="31" t="s">
        <v>13</v>
      </c>
      <c r="G201" s="26">
        <v>2</v>
      </c>
      <c r="H201" s="9">
        <v>2</v>
      </c>
      <c r="I201" s="9">
        <v>1</v>
      </c>
      <c r="J201" s="27">
        <v>1</v>
      </c>
      <c r="K201" s="27">
        <v>0</v>
      </c>
      <c r="L201" s="27">
        <v>0</v>
      </c>
      <c r="M201" s="27">
        <v>2</v>
      </c>
      <c r="N201" s="27">
        <v>1</v>
      </c>
      <c r="O201" s="27">
        <v>1</v>
      </c>
      <c r="P201" s="27">
        <v>1</v>
      </c>
    </row>
    <row r="202" spans="2:16" ht="51" x14ac:dyDescent="0.2">
      <c r="B202" s="25">
        <v>201</v>
      </c>
      <c r="C202" s="39" t="s">
        <v>278</v>
      </c>
      <c r="D202" s="34" t="s">
        <v>279</v>
      </c>
      <c r="E202" s="31" t="s">
        <v>284</v>
      </c>
      <c r="F202" s="31" t="s">
        <v>13</v>
      </c>
      <c r="G202" s="26">
        <v>2</v>
      </c>
      <c r="H202" s="9">
        <v>2</v>
      </c>
      <c r="I202" s="9">
        <v>0</v>
      </c>
      <c r="J202" s="27">
        <v>1</v>
      </c>
      <c r="K202" s="27">
        <v>0</v>
      </c>
      <c r="L202" s="27">
        <v>0</v>
      </c>
      <c r="M202" s="27">
        <v>2</v>
      </c>
      <c r="N202" s="27">
        <v>1</v>
      </c>
      <c r="O202" s="27">
        <v>1</v>
      </c>
      <c r="P202" s="27">
        <v>1</v>
      </c>
    </row>
    <row r="203" spans="2:16" ht="140.25" x14ac:dyDescent="0.2">
      <c r="B203" s="25">
        <v>202</v>
      </c>
      <c r="C203" s="39" t="s">
        <v>278</v>
      </c>
      <c r="D203" s="34" t="s">
        <v>279</v>
      </c>
      <c r="E203" s="31" t="s">
        <v>285</v>
      </c>
      <c r="F203" s="31" t="s">
        <v>13</v>
      </c>
      <c r="G203" s="26">
        <v>2</v>
      </c>
      <c r="H203" s="9">
        <v>1</v>
      </c>
      <c r="I203" s="9">
        <v>0</v>
      </c>
      <c r="J203" s="27">
        <v>1</v>
      </c>
      <c r="K203" s="27">
        <v>0</v>
      </c>
      <c r="L203" s="27">
        <v>0</v>
      </c>
      <c r="M203" s="27">
        <v>2</v>
      </c>
      <c r="N203" s="27">
        <v>1</v>
      </c>
      <c r="O203" s="27">
        <v>1</v>
      </c>
      <c r="P203" s="27">
        <v>0</v>
      </c>
    </row>
    <row r="204" spans="2:16" ht="409.5" x14ac:dyDescent="0.2">
      <c r="B204" s="25">
        <v>203</v>
      </c>
      <c r="C204" s="40" t="s">
        <v>286</v>
      </c>
      <c r="D204" s="34" t="s">
        <v>287</v>
      </c>
      <c r="E204" s="31" t="s">
        <v>288</v>
      </c>
      <c r="F204" s="31" t="s">
        <v>13</v>
      </c>
      <c r="G204" s="26">
        <v>2</v>
      </c>
      <c r="H204" s="9">
        <v>1</v>
      </c>
      <c r="I204" s="9">
        <v>0</v>
      </c>
      <c r="J204" s="27">
        <v>1</v>
      </c>
      <c r="K204" s="27">
        <v>1</v>
      </c>
      <c r="L204" s="27">
        <v>0</v>
      </c>
      <c r="M204" s="27">
        <v>2</v>
      </c>
      <c r="N204" s="27">
        <v>1</v>
      </c>
      <c r="O204" s="27">
        <v>2</v>
      </c>
      <c r="P204" s="27">
        <v>0</v>
      </c>
    </row>
    <row r="205" spans="2:16" ht="38.25" x14ac:dyDescent="0.2">
      <c r="B205" s="25">
        <v>204</v>
      </c>
      <c r="C205" s="40" t="s">
        <v>286</v>
      </c>
      <c r="D205" s="34" t="s">
        <v>289</v>
      </c>
      <c r="E205" s="31" t="s">
        <v>290</v>
      </c>
      <c r="F205" s="31" t="s">
        <v>13</v>
      </c>
      <c r="G205" s="26">
        <v>2</v>
      </c>
      <c r="H205" s="9">
        <v>2</v>
      </c>
      <c r="I205" s="9">
        <v>2</v>
      </c>
      <c r="J205" s="27">
        <v>2</v>
      </c>
      <c r="K205" s="27">
        <v>0</v>
      </c>
      <c r="L205" s="27">
        <v>0</v>
      </c>
      <c r="M205" s="27">
        <v>2</v>
      </c>
      <c r="N205" s="27">
        <v>1</v>
      </c>
      <c r="O205" s="27">
        <v>0</v>
      </c>
      <c r="P205" s="27">
        <v>0</v>
      </c>
    </row>
    <row r="206" spans="2:16" ht="102" x14ac:dyDescent="0.2">
      <c r="B206" s="25">
        <v>205</v>
      </c>
      <c r="C206" s="40" t="s">
        <v>286</v>
      </c>
      <c r="D206" s="34" t="s">
        <v>291</v>
      </c>
      <c r="E206" s="31" t="s">
        <v>292</v>
      </c>
      <c r="F206" s="31" t="s">
        <v>13</v>
      </c>
      <c r="G206" s="26">
        <v>2</v>
      </c>
      <c r="H206" s="9">
        <v>1</v>
      </c>
      <c r="I206" s="9">
        <v>1</v>
      </c>
      <c r="J206" s="27">
        <v>1</v>
      </c>
      <c r="K206" s="27">
        <v>0</v>
      </c>
      <c r="L206" s="27">
        <v>0</v>
      </c>
      <c r="M206" s="27">
        <v>2</v>
      </c>
      <c r="N206" s="27">
        <v>2</v>
      </c>
      <c r="O206" s="27">
        <v>1</v>
      </c>
      <c r="P206" s="27">
        <v>1</v>
      </c>
    </row>
    <row r="207" spans="2:16" ht="51" x14ac:dyDescent="0.2">
      <c r="B207" s="25">
        <v>206</v>
      </c>
      <c r="C207" s="40" t="s">
        <v>286</v>
      </c>
      <c r="D207" s="34" t="s">
        <v>291</v>
      </c>
      <c r="E207" s="31" t="s">
        <v>293</v>
      </c>
      <c r="F207" s="31" t="s">
        <v>13</v>
      </c>
      <c r="G207" s="26">
        <v>2</v>
      </c>
      <c r="H207" s="9">
        <v>2</v>
      </c>
      <c r="I207" s="9">
        <v>1</v>
      </c>
      <c r="J207" s="27">
        <v>1</v>
      </c>
      <c r="K207" s="27">
        <v>0</v>
      </c>
      <c r="L207" s="27">
        <v>0</v>
      </c>
      <c r="M207" s="27">
        <v>2</v>
      </c>
      <c r="N207" s="27">
        <v>2</v>
      </c>
      <c r="O207" s="27">
        <v>1</v>
      </c>
      <c r="P207" s="27">
        <v>2</v>
      </c>
    </row>
    <row r="208" spans="2:16" ht="38.25" x14ac:dyDescent="0.2">
      <c r="B208" s="25">
        <v>207</v>
      </c>
      <c r="C208" s="40" t="s">
        <v>286</v>
      </c>
      <c r="D208" s="34" t="s">
        <v>291</v>
      </c>
      <c r="E208" s="31" t="s">
        <v>294</v>
      </c>
      <c r="F208" s="31" t="s">
        <v>13</v>
      </c>
      <c r="G208" s="26">
        <v>2</v>
      </c>
      <c r="H208" s="9">
        <v>2</v>
      </c>
      <c r="I208" s="9">
        <v>2</v>
      </c>
      <c r="J208" s="27">
        <v>1</v>
      </c>
      <c r="K208" s="27">
        <v>0</v>
      </c>
      <c r="L208" s="27">
        <v>0</v>
      </c>
      <c r="M208" s="27">
        <v>2</v>
      </c>
      <c r="N208" s="27">
        <v>1</v>
      </c>
      <c r="O208" s="27">
        <v>1</v>
      </c>
      <c r="P208" s="27">
        <v>0</v>
      </c>
    </row>
    <row r="209" spans="2:16" ht="38.25" x14ac:dyDescent="0.2">
      <c r="B209" s="25">
        <v>208</v>
      </c>
      <c r="C209" s="40" t="s">
        <v>286</v>
      </c>
      <c r="D209" s="34" t="s">
        <v>291</v>
      </c>
      <c r="E209" s="31" t="s">
        <v>295</v>
      </c>
      <c r="F209" s="31" t="s">
        <v>13</v>
      </c>
      <c r="G209" s="26">
        <v>2</v>
      </c>
      <c r="H209" s="9">
        <v>2</v>
      </c>
      <c r="I209" s="9">
        <v>2</v>
      </c>
      <c r="J209" s="27">
        <v>1</v>
      </c>
      <c r="K209" s="27">
        <v>0</v>
      </c>
      <c r="L209" s="27">
        <v>0</v>
      </c>
      <c r="M209" s="27">
        <v>2</v>
      </c>
      <c r="N209" s="27">
        <v>2</v>
      </c>
      <c r="O209" s="27">
        <v>1</v>
      </c>
      <c r="P209" s="27">
        <v>1</v>
      </c>
    </row>
    <row r="210" spans="2:16" ht="63.75" x14ac:dyDescent="0.2">
      <c r="B210" s="25">
        <v>209</v>
      </c>
      <c r="C210" s="40" t="s">
        <v>286</v>
      </c>
      <c r="D210" s="34" t="s">
        <v>291</v>
      </c>
      <c r="E210" s="31" t="s">
        <v>296</v>
      </c>
      <c r="F210" s="31" t="s">
        <v>13</v>
      </c>
      <c r="G210" s="26">
        <v>2</v>
      </c>
      <c r="H210" s="9">
        <v>2</v>
      </c>
      <c r="I210" s="9">
        <v>2</v>
      </c>
      <c r="J210" s="27">
        <v>1</v>
      </c>
      <c r="K210" s="27">
        <v>0</v>
      </c>
      <c r="L210" s="27">
        <v>0</v>
      </c>
      <c r="M210" s="27">
        <v>2</v>
      </c>
      <c r="N210" s="27">
        <v>1</v>
      </c>
      <c r="O210" s="27">
        <v>1</v>
      </c>
      <c r="P210" s="27">
        <v>0</v>
      </c>
    </row>
    <row r="211" spans="2:16" ht="38.25" x14ac:dyDescent="0.2">
      <c r="B211" s="25">
        <v>210</v>
      </c>
      <c r="C211" s="40" t="s">
        <v>286</v>
      </c>
      <c r="D211" s="34" t="s">
        <v>291</v>
      </c>
      <c r="E211" s="31" t="s">
        <v>297</v>
      </c>
      <c r="F211" s="31" t="s">
        <v>13</v>
      </c>
      <c r="G211" s="26">
        <v>2</v>
      </c>
      <c r="H211" s="9">
        <v>2</v>
      </c>
      <c r="I211" s="9">
        <v>2</v>
      </c>
      <c r="J211" s="27">
        <v>2</v>
      </c>
      <c r="K211" s="27">
        <v>0</v>
      </c>
      <c r="L211" s="27">
        <v>1</v>
      </c>
      <c r="M211" s="27">
        <v>2</v>
      </c>
      <c r="N211" s="27">
        <v>2</v>
      </c>
      <c r="O211" s="27">
        <v>1</v>
      </c>
      <c r="P211" s="27">
        <v>0</v>
      </c>
    </row>
    <row r="212" spans="2:16" ht="38.25" x14ac:dyDescent="0.2">
      <c r="B212" s="25">
        <v>211</v>
      </c>
      <c r="C212" s="40" t="s">
        <v>286</v>
      </c>
      <c r="D212" s="34" t="s">
        <v>291</v>
      </c>
      <c r="E212" s="31" t="s">
        <v>298</v>
      </c>
      <c r="F212" s="31" t="s">
        <v>13</v>
      </c>
      <c r="G212" s="26">
        <v>2</v>
      </c>
      <c r="H212" s="9">
        <v>1</v>
      </c>
      <c r="I212" s="9">
        <v>1</v>
      </c>
      <c r="J212" s="27">
        <v>2</v>
      </c>
      <c r="K212" s="27">
        <v>0</v>
      </c>
      <c r="L212" s="27">
        <v>0</v>
      </c>
      <c r="M212" s="27">
        <v>2</v>
      </c>
      <c r="N212" s="27">
        <v>0</v>
      </c>
      <c r="O212" s="27">
        <v>1</v>
      </c>
      <c r="P212" s="27">
        <v>2</v>
      </c>
    </row>
    <row r="213" spans="2:16" ht="51" x14ac:dyDescent="0.2">
      <c r="B213" s="25">
        <v>212</v>
      </c>
      <c r="C213" s="40" t="s">
        <v>286</v>
      </c>
      <c r="D213" s="34" t="s">
        <v>299</v>
      </c>
      <c r="E213" s="31" t="s">
        <v>300</v>
      </c>
      <c r="F213" s="31" t="s">
        <v>13</v>
      </c>
      <c r="G213" s="26">
        <v>2</v>
      </c>
      <c r="H213" s="9">
        <v>2</v>
      </c>
      <c r="I213" s="9">
        <v>1</v>
      </c>
      <c r="J213" s="27">
        <v>0</v>
      </c>
      <c r="K213" s="27">
        <v>0</v>
      </c>
      <c r="L213" s="27">
        <v>0</v>
      </c>
      <c r="M213" s="27">
        <v>2</v>
      </c>
      <c r="N213" s="27">
        <v>1</v>
      </c>
      <c r="O213" s="27">
        <v>1</v>
      </c>
      <c r="P213" s="27">
        <v>0</v>
      </c>
    </row>
    <row r="214" spans="2:16" ht="63.75" x14ac:dyDescent="0.2">
      <c r="B214" s="25">
        <v>213</v>
      </c>
      <c r="C214" s="40" t="s">
        <v>286</v>
      </c>
      <c r="D214" s="34" t="s">
        <v>301</v>
      </c>
      <c r="E214" s="31" t="s">
        <v>302</v>
      </c>
      <c r="F214" s="31" t="s">
        <v>13</v>
      </c>
      <c r="G214" s="26">
        <v>2</v>
      </c>
      <c r="H214" s="9">
        <v>1</v>
      </c>
      <c r="I214" s="9">
        <v>1</v>
      </c>
      <c r="J214" s="27">
        <v>1</v>
      </c>
      <c r="K214" s="27">
        <v>0</v>
      </c>
      <c r="L214" s="27">
        <v>0</v>
      </c>
      <c r="M214" s="27">
        <v>2</v>
      </c>
      <c r="N214" s="27">
        <v>1</v>
      </c>
      <c r="O214" s="27">
        <v>0</v>
      </c>
      <c r="P214" s="27">
        <v>0</v>
      </c>
    </row>
    <row r="215" spans="2:16" ht="38.25" x14ac:dyDescent="0.2">
      <c r="B215" s="25">
        <v>214</v>
      </c>
      <c r="C215" s="40" t="s">
        <v>286</v>
      </c>
      <c r="D215" s="34" t="s">
        <v>303</v>
      </c>
      <c r="E215" s="31" t="s">
        <v>304</v>
      </c>
      <c r="F215" s="31" t="s">
        <v>13</v>
      </c>
      <c r="G215" s="26">
        <v>2</v>
      </c>
      <c r="H215" s="9">
        <v>2</v>
      </c>
      <c r="I215" s="9">
        <v>0</v>
      </c>
      <c r="J215" s="27">
        <v>1</v>
      </c>
      <c r="K215" s="27">
        <v>1</v>
      </c>
      <c r="L215" s="27">
        <v>0</v>
      </c>
      <c r="M215" s="27">
        <v>2</v>
      </c>
      <c r="N215" s="27">
        <v>1</v>
      </c>
      <c r="O215" s="27">
        <v>0</v>
      </c>
      <c r="P215" s="27">
        <v>0</v>
      </c>
    </row>
    <row r="216" spans="2:16" ht="38.25" x14ac:dyDescent="0.2">
      <c r="B216" s="25">
        <v>215</v>
      </c>
      <c r="C216" s="40" t="s">
        <v>286</v>
      </c>
      <c r="D216" s="34" t="s">
        <v>303</v>
      </c>
      <c r="E216" s="31" t="s">
        <v>305</v>
      </c>
      <c r="F216" s="31" t="s">
        <v>13</v>
      </c>
      <c r="G216" s="26">
        <v>2</v>
      </c>
      <c r="H216" s="9">
        <v>2</v>
      </c>
      <c r="I216" s="9">
        <v>1</v>
      </c>
      <c r="J216" s="27">
        <v>1</v>
      </c>
      <c r="K216" s="27">
        <v>1</v>
      </c>
      <c r="L216" s="27">
        <v>0</v>
      </c>
      <c r="M216" s="27">
        <v>2</v>
      </c>
      <c r="N216" s="27">
        <v>1</v>
      </c>
      <c r="O216" s="27">
        <v>0</v>
      </c>
      <c r="P216" s="27">
        <v>0</v>
      </c>
    </row>
    <row r="217" spans="2:16" ht="38.25" x14ac:dyDescent="0.2">
      <c r="B217" s="25">
        <v>216</v>
      </c>
      <c r="C217" s="40" t="s">
        <v>286</v>
      </c>
      <c r="D217" s="34" t="s">
        <v>306</v>
      </c>
      <c r="E217" s="31" t="s">
        <v>307</v>
      </c>
      <c r="F217" s="31" t="s">
        <v>13</v>
      </c>
      <c r="G217" s="26">
        <v>2</v>
      </c>
      <c r="H217" s="9">
        <v>2</v>
      </c>
      <c r="I217" s="9">
        <v>0</v>
      </c>
      <c r="J217" s="27">
        <v>1</v>
      </c>
      <c r="K217" s="27">
        <v>1</v>
      </c>
      <c r="L217" s="27">
        <v>0</v>
      </c>
      <c r="M217" s="27">
        <v>2</v>
      </c>
      <c r="N217" s="27">
        <v>1</v>
      </c>
      <c r="O217" s="27">
        <v>1</v>
      </c>
      <c r="P217" s="27">
        <v>1</v>
      </c>
    </row>
    <row r="218" spans="2:16" ht="51" x14ac:dyDescent="0.2">
      <c r="B218" s="25">
        <v>217</v>
      </c>
      <c r="C218" s="40" t="s">
        <v>286</v>
      </c>
      <c r="D218" s="34" t="s">
        <v>306</v>
      </c>
      <c r="E218" s="31" t="s">
        <v>308</v>
      </c>
      <c r="F218" s="31" t="s">
        <v>13</v>
      </c>
      <c r="G218" s="26">
        <v>2</v>
      </c>
      <c r="H218" s="9">
        <v>2</v>
      </c>
      <c r="I218" s="9">
        <v>1</v>
      </c>
      <c r="J218" s="27">
        <v>1</v>
      </c>
      <c r="K218" s="27">
        <v>0</v>
      </c>
      <c r="L218" s="27">
        <v>0</v>
      </c>
      <c r="M218" s="27">
        <v>2</v>
      </c>
      <c r="N218" s="27">
        <v>1</v>
      </c>
      <c r="O218" s="27">
        <v>1</v>
      </c>
      <c r="P218" s="27">
        <v>1</v>
      </c>
    </row>
    <row r="219" spans="2:16" ht="38.25" x14ac:dyDescent="0.2">
      <c r="B219" s="25">
        <v>218</v>
      </c>
      <c r="C219" s="40" t="s">
        <v>286</v>
      </c>
      <c r="D219" s="34" t="s">
        <v>306</v>
      </c>
      <c r="E219" s="31" t="s">
        <v>309</v>
      </c>
      <c r="F219" s="31" t="s">
        <v>13</v>
      </c>
      <c r="G219" s="26">
        <v>2</v>
      </c>
      <c r="H219" s="9">
        <v>2</v>
      </c>
      <c r="I219" s="9">
        <v>0</v>
      </c>
      <c r="J219" s="27">
        <v>1</v>
      </c>
      <c r="K219" s="27">
        <v>1</v>
      </c>
      <c r="L219" s="27">
        <v>0</v>
      </c>
      <c r="M219" s="27">
        <v>2</v>
      </c>
      <c r="N219" s="27">
        <v>1</v>
      </c>
      <c r="O219" s="27">
        <v>1</v>
      </c>
      <c r="P219" s="27">
        <v>2</v>
      </c>
    </row>
    <row r="220" spans="2:16" ht="140.25" x14ac:dyDescent="0.2">
      <c r="B220" s="25">
        <v>219</v>
      </c>
      <c r="C220" s="40" t="s">
        <v>286</v>
      </c>
      <c r="D220" s="34" t="s">
        <v>306</v>
      </c>
      <c r="E220" s="31" t="s">
        <v>310</v>
      </c>
      <c r="F220" s="31" t="s">
        <v>13</v>
      </c>
      <c r="G220" s="26">
        <v>2</v>
      </c>
      <c r="H220" s="9">
        <v>1</v>
      </c>
      <c r="I220" s="9">
        <v>0</v>
      </c>
      <c r="J220" s="27">
        <v>1</v>
      </c>
      <c r="K220" s="27">
        <v>0</v>
      </c>
      <c r="L220" s="27">
        <v>0</v>
      </c>
      <c r="M220" s="27">
        <v>2</v>
      </c>
      <c r="N220" s="27">
        <v>1</v>
      </c>
      <c r="O220" s="27">
        <v>1</v>
      </c>
      <c r="P220" s="27">
        <v>1</v>
      </c>
    </row>
    <row r="221" spans="2:16" ht="63.75" x14ac:dyDescent="0.2">
      <c r="B221" s="25">
        <v>220</v>
      </c>
      <c r="C221" s="40" t="s">
        <v>286</v>
      </c>
      <c r="D221" s="34" t="s">
        <v>306</v>
      </c>
      <c r="E221" s="31" t="s">
        <v>311</v>
      </c>
      <c r="F221" s="31" t="s">
        <v>13</v>
      </c>
      <c r="G221" s="26">
        <v>2</v>
      </c>
      <c r="H221" s="9">
        <v>1</v>
      </c>
      <c r="I221" s="9">
        <v>0</v>
      </c>
      <c r="J221" s="27">
        <v>0</v>
      </c>
      <c r="K221" s="27">
        <v>1</v>
      </c>
      <c r="L221" s="27">
        <v>0</v>
      </c>
      <c r="M221" s="27">
        <v>2</v>
      </c>
      <c r="N221" s="27">
        <v>1</v>
      </c>
      <c r="O221" s="27">
        <v>1</v>
      </c>
      <c r="P221" s="27">
        <v>2</v>
      </c>
    </row>
    <row r="222" spans="2:16" ht="38.25" x14ac:dyDescent="0.2">
      <c r="B222" s="25">
        <v>221</v>
      </c>
      <c r="C222" s="39" t="s">
        <v>312</v>
      </c>
      <c r="D222" s="34" t="s">
        <v>313</v>
      </c>
      <c r="E222" s="31" t="s">
        <v>314</v>
      </c>
      <c r="F222" s="31" t="s">
        <v>13</v>
      </c>
      <c r="G222" s="26">
        <v>2</v>
      </c>
      <c r="H222" s="9">
        <v>0</v>
      </c>
      <c r="I222" s="9">
        <v>0</v>
      </c>
      <c r="J222" s="27">
        <v>0</v>
      </c>
      <c r="K222" s="27">
        <v>0</v>
      </c>
      <c r="L222" s="27">
        <v>0</v>
      </c>
      <c r="M222" s="27">
        <v>2</v>
      </c>
      <c r="N222" s="27">
        <v>0</v>
      </c>
      <c r="O222" s="27">
        <v>1</v>
      </c>
      <c r="P222" s="27">
        <v>0</v>
      </c>
    </row>
    <row r="223" spans="2:16" ht="38.25" x14ac:dyDescent="0.2">
      <c r="B223" s="25">
        <v>222</v>
      </c>
      <c r="C223" s="39" t="s">
        <v>312</v>
      </c>
      <c r="D223" s="34" t="s">
        <v>313</v>
      </c>
      <c r="E223" s="31" t="s">
        <v>315</v>
      </c>
      <c r="F223" s="31" t="s">
        <v>13</v>
      </c>
      <c r="G223" s="26">
        <v>2</v>
      </c>
      <c r="H223" s="9">
        <v>1</v>
      </c>
      <c r="I223" s="9">
        <v>0</v>
      </c>
      <c r="J223" s="27">
        <v>0</v>
      </c>
      <c r="K223" s="27">
        <v>0</v>
      </c>
      <c r="L223" s="27">
        <v>0</v>
      </c>
      <c r="M223" s="27">
        <v>2</v>
      </c>
      <c r="N223" s="27">
        <v>1</v>
      </c>
      <c r="O223" s="27">
        <v>1</v>
      </c>
      <c r="P223" s="27">
        <v>0</v>
      </c>
    </row>
    <row r="224" spans="2:16" ht="89.25" x14ac:dyDescent="0.2">
      <c r="B224" s="25">
        <v>223</v>
      </c>
      <c r="C224" s="39" t="s">
        <v>312</v>
      </c>
      <c r="D224" s="34" t="s">
        <v>313</v>
      </c>
      <c r="E224" s="31" t="s">
        <v>316</v>
      </c>
      <c r="F224" s="31" t="s">
        <v>13</v>
      </c>
      <c r="G224" s="26">
        <v>2</v>
      </c>
      <c r="H224" s="9">
        <v>0</v>
      </c>
      <c r="I224" s="9">
        <v>1</v>
      </c>
      <c r="J224" s="27">
        <v>0</v>
      </c>
      <c r="K224" s="27">
        <v>0</v>
      </c>
      <c r="L224" s="27">
        <v>0</v>
      </c>
      <c r="M224" s="27">
        <v>2</v>
      </c>
      <c r="N224" s="27">
        <v>0</v>
      </c>
      <c r="O224" s="27">
        <v>1</v>
      </c>
      <c r="P224" s="27">
        <v>0</v>
      </c>
    </row>
    <row r="225" spans="2:16" ht="38.25" x14ac:dyDescent="0.2">
      <c r="B225" s="25">
        <v>224</v>
      </c>
      <c r="C225" s="39" t="s">
        <v>312</v>
      </c>
      <c r="D225" s="34" t="s">
        <v>313</v>
      </c>
      <c r="E225" s="31" t="s">
        <v>317</v>
      </c>
      <c r="F225" s="31" t="s">
        <v>13</v>
      </c>
      <c r="G225" s="26">
        <v>2</v>
      </c>
      <c r="H225" s="9">
        <v>0</v>
      </c>
      <c r="I225" s="9">
        <v>2</v>
      </c>
      <c r="J225" s="27">
        <v>0</v>
      </c>
      <c r="K225" s="27">
        <v>0</v>
      </c>
      <c r="L225" s="27">
        <v>0</v>
      </c>
      <c r="M225" s="27">
        <v>2</v>
      </c>
      <c r="N225" s="27">
        <v>0</v>
      </c>
      <c r="O225" s="27">
        <v>1</v>
      </c>
      <c r="P225" s="27">
        <v>0</v>
      </c>
    </row>
    <row r="226" spans="2:16" ht="38.25" x14ac:dyDescent="0.2">
      <c r="B226" s="25">
        <v>225</v>
      </c>
      <c r="C226" s="39" t="s">
        <v>312</v>
      </c>
      <c r="D226" s="34" t="s">
        <v>313</v>
      </c>
      <c r="E226" s="31" t="s">
        <v>318</v>
      </c>
      <c r="F226" s="31" t="s">
        <v>13</v>
      </c>
      <c r="G226" s="26">
        <v>2</v>
      </c>
      <c r="H226" s="9">
        <v>1</v>
      </c>
      <c r="I226" s="9">
        <v>1</v>
      </c>
      <c r="J226" s="27">
        <v>0</v>
      </c>
      <c r="K226" s="27">
        <v>0</v>
      </c>
      <c r="L226" s="27">
        <v>0</v>
      </c>
      <c r="M226" s="27">
        <v>2</v>
      </c>
      <c r="N226" s="27">
        <v>1</v>
      </c>
      <c r="O226" s="27">
        <v>1</v>
      </c>
      <c r="P226" s="27">
        <v>0</v>
      </c>
    </row>
    <row r="227" spans="2:16" ht="51" x14ac:dyDescent="0.2">
      <c r="B227" s="25">
        <v>226</v>
      </c>
      <c r="C227" s="39" t="s">
        <v>312</v>
      </c>
      <c r="D227" s="34" t="s">
        <v>313</v>
      </c>
      <c r="E227" s="31" t="s">
        <v>319</v>
      </c>
      <c r="F227" s="31" t="s">
        <v>13</v>
      </c>
      <c r="G227" s="26">
        <v>2</v>
      </c>
      <c r="H227" s="9">
        <v>0</v>
      </c>
      <c r="I227" s="9">
        <v>1</v>
      </c>
      <c r="J227" s="27">
        <v>0</v>
      </c>
      <c r="K227" s="27">
        <v>0</v>
      </c>
      <c r="L227" s="27">
        <v>0</v>
      </c>
      <c r="M227" s="27">
        <v>2</v>
      </c>
      <c r="N227" s="27">
        <v>0</v>
      </c>
      <c r="O227" s="27">
        <v>1</v>
      </c>
      <c r="P227" s="27">
        <v>0</v>
      </c>
    </row>
    <row r="228" spans="2:16" ht="76.5" x14ac:dyDescent="0.2">
      <c r="B228" s="25">
        <v>227</v>
      </c>
      <c r="C228" s="39" t="s">
        <v>312</v>
      </c>
      <c r="D228" s="34" t="s">
        <v>313</v>
      </c>
      <c r="E228" s="31" t="s">
        <v>320</v>
      </c>
      <c r="F228" s="31" t="s">
        <v>13</v>
      </c>
      <c r="G228" s="26">
        <v>2</v>
      </c>
      <c r="H228" s="9">
        <v>1</v>
      </c>
      <c r="I228" s="9">
        <v>0</v>
      </c>
      <c r="J228" s="27">
        <v>0</v>
      </c>
      <c r="K228" s="27">
        <v>0</v>
      </c>
      <c r="L228" s="27">
        <v>0</v>
      </c>
      <c r="M228" s="27">
        <v>2</v>
      </c>
      <c r="N228" s="27">
        <v>1</v>
      </c>
      <c r="O228" s="27">
        <v>1</v>
      </c>
      <c r="P228" s="27">
        <v>1</v>
      </c>
    </row>
    <row r="229" spans="2:16" ht="38.25" x14ac:dyDescent="0.2">
      <c r="B229" s="25">
        <v>228</v>
      </c>
      <c r="C229" s="39" t="s">
        <v>312</v>
      </c>
      <c r="D229" s="34" t="s">
        <v>313</v>
      </c>
      <c r="E229" s="31" t="s">
        <v>321</v>
      </c>
      <c r="F229" s="31" t="s">
        <v>13</v>
      </c>
      <c r="G229" s="26">
        <v>2</v>
      </c>
      <c r="H229" s="9">
        <v>0</v>
      </c>
      <c r="I229" s="9">
        <v>0</v>
      </c>
      <c r="J229" s="27">
        <v>0</v>
      </c>
      <c r="K229" s="27">
        <v>0</v>
      </c>
      <c r="L229" s="27">
        <v>0</v>
      </c>
      <c r="M229" s="27">
        <v>2</v>
      </c>
      <c r="N229" s="27">
        <v>1</v>
      </c>
      <c r="O229" s="27">
        <v>1</v>
      </c>
      <c r="P229" s="27">
        <v>0</v>
      </c>
    </row>
    <row r="230" spans="2:16" ht="38.25" x14ac:dyDescent="0.2">
      <c r="B230" s="25">
        <v>229</v>
      </c>
      <c r="C230" s="39" t="s">
        <v>312</v>
      </c>
      <c r="D230" s="34" t="s">
        <v>313</v>
      </c>
      <c r="E230" s="31" t="s">
        <v>322</v>
      </c>
      <c r="F230" s="31" t="s">
        <v>13</v>
      </c>
      <c r="G230" s="26">
        <v>2</v>
      </c>
      <c r="H230" s="9">
        <v>0</v>
      </c>
      <c r="I230" s="9">
        <v>0</v>
      </c>
      <c r="J230" s="27">
        <v>0</v>
      </c>
      <c r="K230" s="27">
        <v>0</v>
      </c>
      <c r="L230" s="27">
        <v>0</v>
      </c>
      <c r="M230" s="27">
        <v>2</v>
      </c>
      <c r="N230" s="27">
        <v>0</v>
      </c>
      <c r="O230" s="27">
        <v>1</v>
      </c>
      <c r="P230" s="27">
        <v>0</v>
      </c>
    </row>
    <row r="231" spans="2:16" ht="38.25" x14ac:dyDescent="0.2">
      <c r="B231" s="25">
        <v>230</v>
      </c>
      <c r="C231" s="39" t="s">
        <v>312</v>
      </c>
      <c r="D231" s="34" t="s">
        <v>313</v>
      </c>
      <c r="E231" s="31" t="s">
        <v>323</v>
      </c>
      <c r="F231" s="31" t="s">
        <v>13</v>
      </c>
      <c r="G231" s="26">
        <v>2</v>
      </c>
      <c r="H231" s="9">
        <v>1</v>
      </c>
      <c r="I231" s="9">
        <v>0</v>
      </c>
      <c r="J231" s="27">
        <v>0</v>
      </c>
      <c r="K231" s="27">
        <v>0</v>
      </c>
      <c r="L231" s="27">
        <v>0</v>
      </c>
      <c r="M231" s="27">
        <v>2</v>
      </c>
      <c r="N231" s="27">
        <v>1</v>
      </c>
      <c r="O231" s="27">
        <v>1</v>
      </c>
      <c r="P231" s="27">
        <v>1</v>
      </c>
    </row>
    <row r="232" spans="2:16" ht="38.25" x14ac:dyDescent="0.2">
      <c r="B232" s="25">
        <v>231</v>
      </c>
      <c r="C232" s="39" t="s">
        <v>312</v>
      </c>
      <c r="D232" s="34" t="s">
        <v>313</v>
      </c>
      <c r="E232" s="31" t="s">
        <v>324</v>
      </c>
      <c r="F232" s="31" t="s">
        <v>13</v>
      </c>
      <c r="G232" s="26">
        <v>2</v>
      </c>
      <c r="H232" s="9">
        <v>1</v>
      </c>
      <c r="I232" s="9">
        <v>2</v>
      </c>
      <c r="J232" s="27">
        <v>0</v>
      </c>
      <c r="K232" s="27">
        <v>0</v>
      </c>
      <c r="L232" s="27">
        <v>0</v>
      </c>
      <c r="M232" s="27">
        <v>2</v>
      </c>
      <c r="N232" s="27">
        <v>0</v>
      </c>
      <c r="O232" s="27">
        <v>1</v>
      </c>
      <c r="P232" s="27">
        <v>0</v>
      </c>
    </row>
    <row r="233" spans="2:16" ht="38.25" x14ac:dyDescent="0.2">
      <c r="B233" s="25">
        <v>232</v>
      </c>
      <c r="C233" s="39" t="s">
        <v>312</v>
      </c>
      <c r="D233" s="34" t="s">
        <v>313</v>
      </c>
      <c r="E233" s="31" t="s">
        <v>325</v>
      </c>
      <c r="F233" s="31" t="s">
        <v>13</v>
      </c>
      <c r="G233" s="26">
        <v>2</v>
      </c>
      <c r="H233" s="9">
        <v>0</v>
      </c>
      <c r="I233" s="9">
        <v>2</v>
      </c>
      <c r="J233" s="27">
        <v>0</v>
      </c>
      <c r="K233" s="27">
        <v>0</v>
      </c>
      <c r="L233" s="27">
        <v>0</v>
      </c>
      <c r="M233" s="27">
        <v>2</v>
      </c>
      <c r="N233" s="27">
        <v>1</v>
      </c>
      <c r="O233" s="27">
        <v>1</v>
      </c>
      <c r="P233" s="27">
        <v>0</v>
      </c>
    </row>
    <row r="234" spans="2:16" ht="38.25" x14ac:dyDescent="0.2">
      <c r="B234" s="25">
        <v>233</v>
      </c>
      <c r="C234" s="39" t="s">
        <v>312</v>
      </c>
      <c r="D234" s="34" t="s">
        <v>313</v>
      </c>
      <c r="E234" s="31" t="s">
        <v>326</v>
      </c>
      <c r="F234" s="31" t="s">
        <v>13</v>
      </c>
      <c r="G234" s="26">
        <v>2</v>
      </c>
      <c r="H234" s="9">
        <v>1</v>
      </c>
      <c r="I234" s="9">
        <v>2</v>
      </c>
      <c r="J234" s="27">
        <v>0</v>
      </c>
      <c r="K234" s="27">
        <v>0</v>
      </c>
      <c r="L234" s="27">
        <v>0</v>
      </c>
      <c r="M234" s="27">
        <v>2</v>
      </c>
      <c r="N234" s="27">
        <v>1</v>
      </c>
      <c r="O234" s="27">
        <v>1</v>
      </c>
      <c r="P234" s="27">
        <v>0</v>
      </c>
    </row>
    <row r="235" spans="2:16" ht="38.25" x14ac:dyDescent="0.2">
      <c r="B235" s="25">
        <v>234</v>
      </c>
      <c r="C235" s="39" t="s">
        <v>312</v>
      </c>
      <c r="D235" s="34" t="s">
        <v>313</v>
      </c>
      <c r="E235" s="31" t="s">
        <v>327</v>
      </c>
      <c r="F235" s="31" t="s">
        <v>13</v>
      </c>
      <c r="G235" s="26">
        <v>2</v>
      </c>
      <c r="H235" s="9">
        <v>0</v>
      </c>
      <c r="I235" s="9">
        <v>2</v>
      </c>
      <c r="J235" s="27">
        <v>0</v>
      </c>
      <c r="K235" s="27">
        <v>0</v>
      </c>
      <c r="L235" s="27">
        <v>0</v>
      </c>
      <c r="M235" s="27">
        <v>2</v>
      </c>
      <c r="N235" s="27">
        <v>0</v>
      </c>
      <c r="O235" s="27">
        <v>1</v>
      </c>
      <c r="P235" s="27">
        <v>0</v>
      </c>
    </row>
    <row r="236" spans="2:16" ht="38.25" x14ac:dyDescent="0.2">
      <c r="B236" s="25">
        <v>235</v>
      </c>
      <c r="C236" s="39" t="s">
        <v>312</v>
      </c>
      <c r="D236" s="34" t="s">
        <v>313</v>
      </c>
      <c r="E236" s="31" t="s">
        <v>328</v>
      </c>
      <c r="F236" s="31" t="s">
        <v>13</v>
      </c>
      <c r="G236" s="26">
        <v>2</v>
      </c>
      <c r="H236" s="9">
        <v>0</v>
      </c>
      <c r="I236" s="9">
        <v>2</v>
      </c>
      <c r="J236" s="27">
        <v>0</v>
      </c>
      <c r="K236" s="27">
        <v>0</v>
      </c>
      <c r="L236" s="27">
        <v>0</v>
      </c>
      <c r="M236" s="27">
        <v>2</v>
      </c>
      <c r="N236" s="27">
        <v>0</v>
      </c>
      <c r="O236" s="27">
        <v>1</v>
      </c>
      <c r="P236" s="27">
        <v>0</v>
      </c>
    </row>
    <row r="237" spans="2:16" ht="242.25" x14ac:dyDescent="0.2">
      <c r="B237" s="25">
        <v>236</v>
      </c>
      <c r="C237" s="39" t="s">
        <v>312</v>
      </c>
      <c r="D237" s="34" t="s">
        <v>313</v>
      </c>
      <c r="E237" s="31" t="s">
        <v>329</v>
      </c>
      <c r="F237" s="31" t="s">
        <v>13</v>
      </c>
      <c r="G237" s="26">
        <v>2</v>
      </c>
      <c r="H237" s="9">
        <v>1</v>
      </c>
      <c r="I237" s="9">
        <v>2</v>
      </c>
      <c r="J237" s="27">
        <v>0</v>
      </c>
      <c r="K237" s="27">
        <v>0</v>
      </c>
      <c r="L237" s="27">
        <v>0</v>
      </c>
      <c r="M237" s="27">
        <v>2</v>
      </c>
      <c r="N237" s="27">
        <v>1</v>
      </c>
      <c r="O237" s="27">
        <v>1</v>
      </c>
      <c r="P237" s="27">
        <v>0</v>
      </c>
    </row>
    <row r="238" spans="2:16" ht="63.75" x14ac:dyDescent="0.2">
      <c r="B238" s="25">
        <v>237</v>
      </c>
      <c r="C238" s="39" t="s">
        <v>312</v>
      </c>
      <c r="D238" s="34" t="s">
        <v>313</v>
      </c>
      <c r="E238" s="31" t="s">
        <v>330</v>
      </c>
      <c r="F238" s="31" t="s">
        <v>13</v>
      </c>
      <c r="G238" s="26">
        <v>2</v>
      </c>
      <c r="H238" s="9">
        <v>0</v>
      </c>
      <c r="I238" s="9">
        <v>2</v>
      </c>
      <c r="J238" s="27">
        <v>0</v>
      </c>
      <c r="K238" s="27">
        <v>0</v>
      </c>
      <c r="L238" s="27">
        <v>0</v>
      </c>
      <c r="M238" s="27">
        <v>2</v>
      </c>
      <c r="N238" s="27">
        <v>0</v>
      </c>
      <c r="O238" s="27">
        <v>1</v>
      </c>
      <c r="P238" s="27">
        <v>0</v>
      </c>
    </row>
    <row r="239" spans="2:16" ht="38.25" x14ac:dyDescent="0.2">
      <c r="B239" s="25">
        <v>238</v>
      </c>
      <c r="C239" s="39" t="s">
        <v>312</v>
      </c>
      <c r="D239" s="34" t="s">
        <v>331</v>
      </c>
      <c r="E239" s="31" t="s">
        <v>332</v>
      </c>
      <c r="F239" s="31" t="s">
        <v>13</v>
      </c>
      <c r="G239" s="26">
        <v>2</v>
      </c>
      <c r="H239" s="9">
        <v>2</v>
      </c>
      <c r="I239" s="9">
        <v>2</v>
      </c>
      <c r="J239" s="27">
        <v>0</v>
      </c>
      <c r="K239" s="27">
        <v>0</v>
      </c>
      <c r="L239" s="27">
        <v>0</v>
      </c>
      <c r="M239" s="27">
        <v>2</v>
      </c>
      <c r="N239" s="27">
        <v>1</v>
      </c>
      <c r="O239" s="27">
        <v>0</v>
      </c>
      <c r="P239" s="27">
        <v>0</v>
      </c>
    </row>
    <row r="240" spans="2:16" ht="38.25" x14ac:dyDescent="0.2">
      <c r="B240" s="25">
        <v>239</v>
      </c>
      <c r="C240" s="39" t="s">
        <v>312</v>
      </c>
      <c r="D240" s="34" t="s">
        <v>331</v>
      </c>
      <c r="E240" s="31" t="s">
        <v>333</v>
      </c>
      <c r="F240" s="31" t="s">
        <v>13</v>
      </c>
      <c r="G240" s="26">
        <v>2</v>
      </c>
      <c r="H240" s="9">
        <v>0</v>
      </c>
      <c r="I240" s="9">
        <v>2</v>
      </c>
      <c r="J240" s="27">
        <v>0</v>
      </c>
      <c r="K240" s="27">
        <v>0</v>
      </c>
      <c r="L240" s="27">
        <v>0</v>
      </c>
      <c r="M240" s="27">
        <v>2</v>
      </c>
      <c r="N240" s="27">
        <v>0</v>
      </c>
      <c r="O240" s="27">
        <v>0</v>
      </c>
      <c r="P240" s="27">
        <v>0</v>
      </c>
    </row>
    <row r="241" spans="2:16" ht="38.25" x14ac:dyDescent="0.2">
      <c r="B241" s="25">
        <v>240</v>
      </c>
      <c r="C241" s="39" t="s">
        <v>312</v>
      </c>
      <c r="D241" s="34" t="s">
        <v>331</v>
      </c>
      <c r="E241" s="31" t="s">
        <v>334</v>
      </c>
      <c r="F241" s="31" t="s">
        <v>13</v>
      </c>
      <c r="G241" s="26">
        <v>2</v>
      </c>
      <c r="H241" s="9">
        <v>2</v>
      </c>
      <c r="I241" s="9">
        <v>2</v>
      </c>
      <c r="J241" s="27">
        <v>0</v>
      </c>
      <c r="K241" s="27">
        <v>0</v>
      </c>
      <c r="L241" s="27">
        <v>0</v>
      </c>
      <c r="M241" s="27">
        <v>2</v>
      </c>
      <c r="N241" s="27">
        <v>1</v>
      </c>
      <c r="O241" s="27">
        <v>0</v>
      </c>
      <c r="P241" s="27">
        <v>0</v>
      </c>
    </row>
    <row r="242" spans="2:16" ht="38.25" x14ac:dyDescent="0.2">
      <c r="B242" s="25">
        <v>241</v>
      </c>
      <c r="C242" s="39" t="s">
        <v>312</v>
      </c>
      <c r="D242" s="34" t="s">
        <v>331</v>
      </c>
      <c r="E242" s="31" t="s">
        <v>335</v>
      </c>
      <c r="F242" s="31" t="s">
        <v>13</v>
      </c>
      <c r="G242" s="26">
        <v>2</v>
      </c>
      <c r="H242" s="9">
        <v>1</v>
      </c>
      <c r="I242" s="9">
        <v>2</v>
      </c>
      <c r="J242" s="27">
        <v>0</v>
      </c>
      <c r="K242" s="27">
        <v>0</v>
      </c>
      <c r="L242" s="27">
        <v>0</v>
      </c>
      <c r="M242" s="27">
        <v>2</v>
      </c>
      <c r="N242" s="27">
        <v>1</v>
      </c>
      <c r="O242" s="27">
        <v>0</v>
      </c>
      <c r="P242" s="27">
        <v>0</v>
      </c>
    </row>
    <row r="243" spans="2:16" ht="38.25" x14ac:dyDescent="0.2">
      <c r="B243" s="25">
        <v>242</v>
      </c>
      <c r="C243" s="39" t="s">
        <v>312</v>
      </c>
      <c r="D243" s="34" t="s">
        <v>331</v>
      </c>
      <c r="E243" s="31" t="s">
        <v>336</v>
      </c>
      <c r="F243" s="31" t="s">
        <v>13</v>
      </c>
      <c r="G243" s="26">
        <v>2</v>
      </c>
      <c r="H243" s="9">
        <v>1</v>
      </c>
      <c r="I243" s="9">
        <v>2</v>
      </c>
      <c r="J243" s="27">
        <v>2</v>
      </c>
      <c r="K243" s="27">
        <v>0</v>
      </c>
      <c r="L243" s="27">
        <v>0</v>
      </c>
      <c r="M243" s="27">
        <v>2</v>
      </c>
      <c r="N243" s="27">
        <v>0</v>
      </c>
      <c r="O243" s="27">
        <v>0</v>
      </c>
      <c r="P243" s="27">
        <v>0</v>
      </c>
    </row>
    <row r="244" spans="2:16" ht="38.25" x14ac:dyDescent="0.2">
      <c r="B244" s="25">
        <v>243</v>
      </c>
      <c r="C244" s="39" t="s">
        <v>312</v>
      </c>
      <c r="D244" s="34" t="s">
        <v>337</v>
      </c>
      <c r="E244" s="31" t="s">
        <v>338</v>
      </c>
      <c r="F244" s="31" t="s">
        <v>13</v>
      </c>
      <c r="G244" s="26">
        <v>2</v>
      </c>
      <c r="H244" s="9">
        <v>2</v>
      </c>
      <c r="I244" s="9">
        <v>2</v>
      </c>
      <c r="J244" s="27">
        <v>1</v>
      </c>
      <c r="K244" s="27">
        <v>0</v>
      </c>
      <c r="L244" s="27">
        <v>0</v>
      </c>
      <c r="M244" s="27">
        <v>2</v>
      </c>
      <c r="N244" s="27">
        <v>1</v>
      </c>
      <c r="O244" s="27">
        <v>1</v>
      </c>
      <c r="P244" s="27">
        <v>0</v>
      </c>
    </row>
    <row r="245" spans="2:16" ht="38.25" x14ac:dyDescent="0.2">
      <c r="B245" s="25">
        <v>244</v>
      </c>
      <c r="C245" s="39" t="s">
        <v>312</v>
      </c>
      <c r="D245" s="34" t="s">
        <v>337</v>
      </c>
      <c r="E245" s="31" t="s">
        <v>339</v>
      </c>
      <c r="F245" s="31" t="s">
        <v>13</v>
      </c>
      <c r="G245" s="26">
        <v>2</v>
      </c>
      <c r="H245" s="9">
        <v>2</v>
      </c>
      <c r="I245" s="9">
        <v>2</v>
      </c>
      <c r="J245" s="27">
        <v>1</v>
      </c>
      <c r="K245" s="27">
        <v>0</v>
      </c>
      <c r="L245" s="27">
        <v>0</v>
      </c>
      <c r="M245" s="27">
        <v>2</v>
      </c>
      <c r="N245" s="27">
        <v>1</v>
      </c>
      <c r="O245" s="27">
        <v>1</v>
      </c>
      <c r="P245" s="27">
        <v>0</v>
      </c>
    </row>
    <row r="246" spans="2:16" ht="38.25" x14ac:dyDescent="0.2">
      <c r="B246" s="25">
        <v>245</v>
      </c>
      <c r="C246" s="39" t="s">
        <v>312</v>
      </c>
      <c r="D246" s="34" t="s">
        <v>337</v>
      </c>
      <c r="E246" s="31" t="s">
        <v>340</v>
      </c>
      <c r="F246" s="31" t="s">
        <v>13</v>
      </c>
      <c r="G246" s="26">
        <v>2</v>
      </c>
      <c r="H246" s="9">
        <v>1</v>
      </c>
      <c r="I246" s="9">
        <v>2</v>
      </c>
      <c r="J246" s="27">
        <v>1</v>
      </c>
      <c r="K246" s="27">
        <v>0</v>
      </c>
      <c r="L246" s="27">
        <v>0</v>
      </c>
      <c r="M246" s="27">
        <v>2</v>
      </c>
      <c r="N246" s="27">
        <v>1</v>
      </c>
      <c r="O246" s="27">
        <v>1</v>
      </c>
      <c r="P246" s="27">
        <v>0</v>
      </c>
    </row>
    <row r="247" spans="2:16" ht="38.25" x14ac:dyDescent="0.2">
      <c r="B247" s="25">
        <v>246</v>
      </c>
      <c r="C247" s="39" t="s">
        <v>312</v>
      </c>
      <c r="D247" s="34" t="s">
        <v>337</v>
      </c>
      <c r="E247" s="31" t="s">
        <v>341</v>
      </c>
      <c r="F247" s="31" t="s">
        <v>13</v>
      </c>
      <c r="G247" s="26">
        <v>2</v>
      </c>
      <c r="H247" s="9">
        <v>1</v>
      </c>
      <c r="I247" s="9">
        <v>1</v>
      </c>
      <c r="J247" s="27">
        <v>1</v>
      </c>
      <c r="K247" s="27">
        <v>0</v>
      </c>
      <c r="L247" s="27">
        <v>0</v>
      </c>
      <c r="M247" s="27">
        <v>2</v>
      </c>
      <c r="N247" s="27">
        <v>1</v>
      </c>
      <c r="O247" s="27">
        <v>1</v>
      </c>
      <c r="P247" s="27">
        <v>0</v>
      </c>
    </row>
    <row r="248" spans="2:16" ht="38.25" x14ac:dyDescent="0.2">
      <c r="B248" s="25">
        <v>247</v>
      </c>
      <c r="C248" s="39" t="s">
        <v>312</v>
      </c>
      <c r="D248" s="34" t="s">
        <v>337</v>
      </c>
      <c r="E248" s="31" t="s">
        <v>342</v>
      </c>
      <c r="F248" s="31" t="s">
        <v>13</v>
      </c>
      <c r="G248" s="26">
        <v>2</v>
      </c>
      <c r="H248" s="9">
        <v>2</v>
      </c>
      <c r="I248" s="9">
        <v>1</v>
      </c>
      <c r="J248" s="27">
        <v>1</v>
      </c>
      <c r="K248" s="27">
        <v>0</v>
      </c>
      <c r="L248" s="27">
        <v>0</v>
      </c>
      <c r="M248" s="27">
        <v>2</v>
      </c>
      <c r="N248" s="27">
        <v>1</v>
      </c>
      <c r="O248" s="27">
        <v>1</v>
      </c>
      <c r="P248" s="27">
        <v>0</v>
      </c>
    </row>
    <row r="249" spans="2:16" ht="38.25" x14ac:dyDescent="0.2">
      <c r="B249" s="25">
        <v>248</v>
      </c>
      <c r="C249" s="39" t="s">
        <v>312</v>
      </c>
      <c r="D249" s="34" t="s">
        <v>337</v>
      </c>
      <c r="E249" s="31" t="s">
        <v>343</v>
      </c>
      <c r="F249" s="31" t="s">
        <v>13</v>
      </c>
      <c r="G249" s="26">
        <v>2</v>
      </c>
      <c r="H249" s="9">
        <v>2</v>
      </c>
      <c r="I249" s="9">
        <v>1</v>
      </c>
      <c r="J249" s="27">
        <v>1</v>
      </c>
      <c r="K249" s="27">
        <v>0</v>
      </c>
      <c r="L249" s="27">
        <v>0</v>
      </c>
      <c r="M249" s="27">
        <v>2</v>
      </c>
      <c r="N249" s="27">
        <v>0</v>
      </c>
      <c r="O249" s="27">
        <v>1</v>
      </c>
      <c r="P249" s="27">
        <v>0</v>
      </c>
    </row>
    <row r="250" spans="2:16" ht="38.25" x14ac:dyDescent="0.2">
      <c r="B250" s="25">
        <v>249</v>
      </c>
      <c r="C250" s="39" t="s">
        <v>312</v>
      </c>
      <c r="D250" s="34" t="s">
        <v>337</v>
      </c>
      <c r="E250" s="31" t="s">
        <v>344</v>
      </c>
      <c r="F250" s="31" t="s">
        <v>13</v>
      </c>
      <c r="G250" s="26">
        <v>2</v>
      </c>
      <c r="H250" s="9">
        <v>1</v>
      </c>
      <c r="I250" s="9">
        <v>2</v>
      </c>
      <c r="J250" s="27">
        <v>1</v>
      </c>
      <c r="K250" s="27">
        <v>0</v>
      </c>
      <c r="L250" s="27">
        <v>0</v>
      </c>
      <c r="M250" s="27">
        <v>2</v>
      </c>
      <c r="N250" s="27">
        <v>0</v>
      </c>
      <c r="O250" s="27">
        <v>1</v>
      </c>
      <c r="P250" s="27">
        <v>0</v>
      </c>
    </row>
    <row r="251" spans="2:16" ht="38.25" x14ac:dyDescent="0.2">
      <c r="B251" s="25">
        <v>250</v>
      </c>
      <c r="C251" s="39" t="s">
        <v>312</v>
      </c>
      <c r="D251" s="34" t="s">
        <v>337</v>
      </c>
      <c r="E251" s="31" t="s">
        <v>345</v>
      </c>
      <c r="F251" s="31" t="s">
        <v>13</v>
      </c>
      <c r="G251" s="26">
        <v>2</v>
      </c>
      <c r="H251" s="9">
        <v>0</v>
      </c>
      <c r="I251" s="9">
        <v>2</v>
      </c>
      <c r="J251" s="27">
        <v>2</v>
      </c>
      <c r="K251" s="27">
        <v>0</v>
      </c>
      <c r="L251" s="27">
        <v>0</v>
      </c>
      <c r="M251" s="27">
        <v>2</v>
      </c>
      <c r="N251" s="27">
        <v>1</v>
      </c>
      <c r="O251" s="27">
        <v>1</v>
      </c>
      <c r="P251" s="27">
        <v>1</v>
      </c>
    </row>
    <row r="252" spans="2:16" ht="38.25" x14ac:dyDescent="0.2">
      <c r="B252" s="25">
        <v>251</v>
      </c>
      <c r="C252" s="39" t="s">
        <v>312</v>
      </c>
      <c r="D252" s="34" t="s">
        <v>337</v>
      </c>
      <c r="E252" s="31" t="s">
        <v>346</v>
      </c>
      <c r="F252" s="31" t="s">
        <v>13</v>
      </c>
      <c r="G252" s="26">
        <v>2</v>
      </c>
      <c r="H252" s="9">
        <v>1</v>
      </c>
      <c r="I252" s="9">
        <v>0</v>
      </c>
      <c r="J252" s="27">
        <v>1</v>
      </c>
      <c r="K252" s="27">
        <v>0</v>
      </c>
      <c r="L252" s="27">
        <v>0</v>
      </c>
      <c r="M252" s="27">
        <v>2</v>
      </c>
      <c r="N252" s="27">
        <v>1</v>
      </c>
      <c r="O252" s="27">
        <v>1</v>
      </c>
      <c r="P252" s="27">
        <v>0</v>
      </c>
    </row>
    <row r="253" spans="2:16" ht="38.25" x14ac:dyDescent="0.2">
      <c r="B253" s="25">
        <v>252</v>
      </c>
      <c r="C253" s="39" t="s">
        <v>312</v>
      </c>
      <c r="D253" s="34" t="s">
        <v>347</v>
      </c>
      <c r="E253" s="31" t="s">
        <v>348</v>
      </c>
      <c r="F253" s="31" t="s">
        <v>13</v>
      </c>
      <c r="G253" s="26">
        <v>2</v>
      </c>
      <c r="H253" s="9">
        <v>1</v>
      </c>
      <c r="I253" s="9">
        <v>0</v>
      </c>
      <c r="J253" s="27">
        <v>0</v>
      </c>
      <c r="K253" s="27">
        <v>0</v>
      </c>
      <c r="L253" s="27">
        <v>0</v>
      </c>
      <c r="M253" s="27">
        <v>2</v>
      </c>
      <c r="N253" s="27">
        <v>2</v>
      </c>
      <c r="O253" s="27">
        <v>1</v>
      </c>
      <c r="P253" s="27">
        <v>0</v>
      </c>
    </row>
    <row r="254" spans="2:16" ht="38.25" x14ac:dyDescent="0.2">
      <c r="B254" s="25">
        <v>253</v>
      </c>
      <c r="C254" s="39" t="s">
        <v>312</v>
      </c>
      <c r="D254" s="34" t="s">
        <v>347</v>
      </c>
      <c r="E254" s="31" t="s">
        <v>349</v>
      </c>
      <c r="F254" s="31" t="s">
        <v>13</v>
      </c>
      <c r="G254" s="26">
        <v>2</v>
      </c>
      <c r="H254" s="9">
        <v>2</v>
      </c>
      <c r="I254" s="9">
        <v>0</v>
      </c>
      <c r="J254" s="27">
        <v>0</v>
      </c>
      <c r="K254" s="27">
        <v>0</v>
      </c>
      <c r="L254" s="27">
        <v>0</v>
      </c>
      <c r="M254" s="27">
        <v>2</v>
      </c>
      <c r="N254" s="27">
        <v>2</v>
      </c>
      <c r="O254" s="27">
        <v>1</v>
      </c>
      <c r="P254" s="27">
        <v>1</v>
      </c>
    </row>
    <row r="255" spans="2:16" ht="38.25" x14ac:dyDescent="0.2">
      <c r="B255" s="25">
        <v>254</v>
      </c>
      <c r="C255" s="39" t="s">
        <v>312</v>
      </c>
      <c r="D255" s="34" t="s">
        <v>347</v>
      </c>
      <c r="E255" s="31" t="s">
        <v>350</v>
      </c>
      <c r="F255" s="31" t="s">
        <v>13</v>
      </c>
      <c r="G255" s="26">
        <v>2</v>
      </c>
      <c r="H255" s="9">
        <v>1</v>
      </c>
      <c r="I255" s="9">
        <v>0</v>
      </c>
      <c r="J255" s="27">
        <v>0</v>
      </c>
      <c r="K255" s="27">
        <v>0</v>
      </c>
      <c r="L255" s="27">
        <v>0</v>
      </c>
      <c r="M255" s="27">
        <v>2</v>
      </c>
      <c r="N255" s="27">
        <v>1</v>
      </c>
      <c r="O255" s="27">
        <v>1</v>
      </c>
      <c r="P255" s="27">
        <v>0</v>
      </c>
    </row>
    <row r="256" spans="2:16" ht="38.25" x14ac:dyDescent="0.2">
      <c r="B256" s="25">
        <v>255</v>
      </c>
      <c r="C256" s="39" t="s">
        <v>312</v>
      </c>
      <c r="D256" s="34" t="s">
        <v>347</v>
      </c>
      <c r="E256" s="31" t="s">
        <v>351</v>
      </c>
      <c r="F256" s="31" t="s">
        <v>13</v>
      </c>
      <c r="G256" s="26">
        <v>2</v>
      </c>
      <c r="H256" s="9">
        <v>1</v>
      </c>
      <c r="I256" s="9">
        <v>0</v>
      </c>
      <c r="J256" s="27">
        <v>0</v>
      </c>
      <c r="K256" s="27">
        <v>0</v>
      </c>
      <c r="L256" s="27">
        <v>0</v>
      </c>
      <c r="M256" s="27">
        <v>2</v>
      </c>
      <c r="N256" s="27">
        <v>1</v>
      </c>
      <c r="O256" s="27">
        <v>1</v>
      </c>
      <c r="P256" s="27">
        <v>0</v>
      </c>
    </row>
    <row r="257" spans="2:16" ht="38.25" x14ac:dyDescent="0.2">
      <c r="B257" s="25">
        <v>256</v>
      </c>
      <c r="C257" s="39" t="s">
        <v>312</v>
      </c>
      <c r="D257" s="34" t="s">
        <v>347</v>
      </c>
      <c r="E257" s="31" t="s">
        <v>352</v>
      </c>
      <c r="F257" s="31" t="s">
        <v>13</v>
      </c>
      <c r="G257" s="26">
        <v>2</v>
      </c>
      <c r="H257" s="9">
        <v>1</v>
      </c>
      <c r="I257" s="9">
        <v>0</v>
      </c>
      <c r="J257" s="27">
        <v>0</v>
      </c>
      <c r="K257" s="27">
        <v>0</v>
      </c>
      <c r="L257" s="27">
        <v>0</v>
      </c>
      <c r="M257" s="27">
        <v>2</v>
      </c>
      <c r="N257" s="27">
        <v>1</v>
      </c>
      <c r="O257" s="27">
        <v>1</v>
      </c>
      <c r="P257" s="27">
        <v>0</v>
      </c>
    </row>
    <row r="258" spans="2:16" ht="38.25" x14ac:dyDescent="0.2">
      <c r="B258" s="25">
        <v>257</v>
      </c>
      <c r="C258" s="39" t="s">
        <v>312</v>
      </c>
      <c r="D258" s="34" t="s">
        <v>347</v>
      </c>
      <c r="E258" s="31" t="s">
        <v>353</v>
      </c>
      <c r="F258" s="31" t="s">
        <v>13</v>
      </c>
      <c r="G258" s="26">
        <v>2</v>
      </c>
      <c r="H258" s="9">
        <v>1</v>
      </c>
      <c r="I258" s="9">
        <v>0</v>
      </c>
      <c r="J258" s="27">
        <v>0</v>
      </c>
      <c r="K258" s="27">
        <v>0</v>
      </c>
      <c r="L258" s="27">
        <v>0</v>
      </c>
      <c r="M258" s="27">
        <v>2</v>
      </c>
      <c r="N258" s="27">
        <v>1</v>
      </c>
      <c r="O258" s="27">
        <v>1</v>
      </c>
      <c r="P258" s="27">
        <v>0</v>
      </c>
    </row>
    <row r="259" spans="2:16" ht="38.25" x14ac:dyDescent="0.2">
      <c r="B259" s="25">
        <v>258</v>
      </c>
      <c r="C259" s="39" t="s">
        <v>312</v>
      </c>
      <c r="D259" s="34" t="s">
        <v>347</v>
      </c>
      <c r="E259" s="31" t="s">
        <v>354</v>
      </c>
      <c r="F259" s="31" t="s">
        <v>13</v>
      </c>
      <c r="G259" s="26">
        <v>2</v>
      </c>
      <c r="H259" s="9">
        <v>1</v>
      </c>
      <c r="I259" s="9">
        <v>1</v>
      </c>
      <c r="J259" s="27">
        <v>0</v>
      </c>
      <c r="K259" s="27">
        <v>0</v>
      </c>
      <c r="L259" s="27">
        <v>0</v>
      </c>
      <c r="M259" s="27">
        <v>2</v>
      </c>
      <c r="N259" s="27">
        <v>0</v>
      </c>
      <c r="O259" s="27">
        <v>1</v>
      </c>
      <c r="P259" s="27">
        <v>0</v>
      </c>
    </row>
    <row r="260" spans="2:16" ht="38.25" x14ac:dyDescent="0.2">
      <c r="B260" s="25">
        <v>259</v>
      </c>
      <c r="C260" s="39" t="s">
        <v>312</v>
      </c>
      <c r="D260" s="34" t="s">
        <v>347</v>
      </c>
      <c r="E260" s="31" t="s">
        <v>355</v>
      </c>
      <c r="F260" s="31" t="s">
        <v>13</v>
      </c>
      <c r="G260" s="26">
        <v>2</v>
      </c>
      <c r="H260" s="9">
        <v>2</v>
      </c>
      <c r="I260" s="9">
        <v>0</v>
      </c>
      <c r="J260" s="27">
        <v>0</v>
      </c>
      <c r="K260" s="27">
        <v>0</v>
      </c>
      <c r="L260" s="27">
        <v>0</v>
      </c>
      <c r="M260" s="27">
        <v>2</v>
      </c>
      <c r="N260" s="27">
        <v>2</v>
      </c>
      <c r="O260" s="27">
        <v>1</v>
      </c>
      <c r="P260" s="27">
        <v>0</v>
      </c>
    </row>
    <row r="261" spans="2:16" ht="38.25" x14ac:dyDescent="0.2">
      <c r="B261" s="25">
        <v>260</v>
      </c>
      <c r="C261" s="39" t="s">
        <v>312</v>
      </c>
      <c r="D261" s="34" t="s">
        <v>347</v>
      </c>
      <c r="E261" s="31" t="s">
        <v>356</v>
      </c>
      <c r="F261" s="31" t="s">
        <v>13</v>
      </c>
      <c r="G261" s="26">
        <v>2</v>
      </c>
      <c r="H261" s="9">
        <v>1</v>
      </c>
      <c r="I261" s="9">
        <v>0</v>
      </c>
      <c r="J261" s="27">
        <v>0</v>
      </c>
      <c r="K261" s="27">
        <v>0</v>
      </c>
      <c r="L261" s="27">
        <v>0</v>
      </c>
      <c r="M261" s="27">
        <v>2</v>
      </c>
      <c r="N261" s="27">
        <v>1</v>
      </c>
      <c r="O261" s="27">
        <v>1</v>
      </c>
      <c r="P261" s="27">
        <v>0</v>
      </c>
    </row>
    <row r="262" spans="2:16" ht="38.25" x14ac:dyDescent="0.2">
      <c r="B262" s="25">
        <v>261</v>
      </c>
      <c r="C262" s="39" t="s">
        <v>312</v>
      </c>
      <c r="D262" s="34" t="s">
        <v>357</v>
      </c>
      <c r="E262" s="31" t="s">
        <v>358</v>
      </c>
      <c r="F262" s="31" t="s">
        <v>13</v>
      </c>
      <c r="G262" s="26">
        <v>2</v>
      </c>
      <c r="H262" s="9">
        <v>0</v>
      </c>
      <c r="I262" s="9">
        <v>0</v>
      </c>
      <c r="J262" s="27">
        <v>0</v>
      </c>
      <c r="K262" s="27">
        <v>0</v>
      </c>
      <c r="L262" s="27">
        <v>0</v>
      </c>
      <c r="M262" s="27">
        <v>2</v>
      </c>
      <c r="N262" s="27">
        <v>0</v>
      </c>
      <c r="O262" s="27">
        <v>0</v>
      </c>
      <c r="P262" s="27">
        <v>0</v>
      </c>
    </row>
    <row r="263" spans="2:16" ht="38.25" x14ac:dyDescent="0.2">
      <c r="B263" s="25">
        <v>262</v>
      </c>
      <c r="C263" s="39" t="s">
        <v>312</v>
      </c>
      <c r="D263" s="34" t="s">
        <v>357</v>
      </c>
      <c r="E263" s="31" t="s">
        <v>359</v>
      </c>
      <c r="F263" s="31" t="s">
        <v>13</v>
      </c>
      <c r="G263" s="26">
        <v>2</v>
      </c>
      <c r="H263" s="9">
        <v>0</v>
      </c>
      <c r="I263" s="9">
        <v>0</v>
      </c>
      <c r="J263" s="27">
        <v>0</v>
      </c>
      <c r="K263" s="27">
        <v>0</v>
      </c>
      <c r="L263" s="27">
        <v>0</v>
      </c>
      <c r="M263" s="27">
        <v>2</v>
      </c>
      <c r="N263" s="27">
        <v>0</v>
      </c>
      <c r="O263" s="27">
        <v>0</v>
      </c>
      <c r="P263" s="27">
        <v>0</v>
      </c>
    </row>
    <row r="264" spans="2:16" ht="38.25" x14ac:dyDescent="0.2">
      <c r="B264" s="25">
        <v>263</v>
      </c>
      <c r="C264" s="39" t="s">
        <v>312</v>
      </c>
      <c r="D264" s="34" t="s">
        <v>357</v>
      </c>
      <c r="E264" s="31" t="s">
        <v>360</v>
      </c>
      <c r="F264" s="31" t="s">
        <v>13</v>
      </c>
      <c r="G264" s="26">
        <v>2</v>
      </c>
      <c r="H264" s="9">
        <v>0</v>
      </c>
      <c r="I264" s="9">
        <v>0</v>
      </c>
      <c r="J264" s="27">
        <v>0</v>
      </c>
      <c r="K264" s="27">
        <v>0</v>
      </c>
      <c r="L264" s="27">
        <v>0</v>
      </c>
      <c r="M264" s="27">
        <v>2</v>
      </c>
      <c r="N264" s="27">
        <v>0</v>
      </c>
      <c r="O264" s="27">
        <v>0</v>
      </c>
      <c r="P264" s="27">
        <v>0</v>
      </c>
    </row>
    <row r="265" spans="2:16" ht="38.25" x14ac:dyDescent="0.2">
      <c r="B265" s="25">
        <v>264</v>
      </c>
      <c r="C265" s="39" t="s">
        <v>312</v>
      </c>
      <c r="D265" s="34" t="s">
        <v>357</v>
      </c>
      <c r="E265" s="31" t="s">
        <v>361</v>
      </c>
      <c r="F265" s="31" t="s">
        <v>13</v>
      </c>
      <c r="G265" s="26">
        <v>2</v>
      </c>
      <c r="H265" s="9">
        <v>0</v>
      </c>
      <c r="I265" s="9">
        <v>0</v>
      </c>
      <c r="J265" s="27">
        <v>0</v>
      </c>
      <c r="K265" s="27">
        <v>0</v>
      </c>
      <c r="L265" s="27">
        <v>0</v>
      </c>
      <c r="M265" s="27">
        <v>2</v>
      </c>
      <c r="N265" s="27">
        <v>0</v>
      </c>
      <c r="O265" s="27">
        <v>0</v>
      </c>
      <c r="P265" s="27">
        <v>0</v>
      </c>
    </row>
    <row r="266" spans="2:16" ht="89.25" x14ac:dyDescent="0.2">
      <c r="B266" s="25">
        <v>265</v>
      </c>
      <c r="C266" s="39" t="s">
        <v>312</v>
      </c>
      <c r="D266" s="34" t="s">
        <v>362</v>
      </c>
      <c r="E266" s="31" t="s">
        <v>363</v>
      </c>
      <c r="F266" s="31" t="s">
        <v>13</v>
      </c>
      <c r="G266" s="26">
        <v>2</v>
      </c>
      <c r="H266" s="9">
        <v>2</v>
      </c>
      <c r="I266" s="9">
        <v>0</v>
      </c>
      <c r="J266" s="27">
        <v>0</v>
      </c>
      <c r="K266" s="27">
        <v>2</v>
      </c>
      <c r="L266" s="27">
        <v>0</v>
      </c>
      <c r="M266" s="27">
        <v>2</v>
      </c>
      <c r="N266" s="27">
        <v>2</v>
      </c>
      <c r="O266" s="27">
        <v>2</v>
      </c>
      <c r="P266" s="27">
        <v>2</v>
      </c>
    </row>
    <row r="267" spans="2:16" ht="38.25" x14ac:dyDescent="0.2">
      <c r="B267" s="25">
        <v>266</v>
      </c>
      <c r="C267" s="39" t="s">
        <v>312</v>
      </c>
      <c r="D267" s="34" t="s">
        <v>362</v>
      </c>
      <c r="E267" s="31" t="s">
        <v>364</v>
      </c>
      <c r="F267" s="31" t="s">
        <v>13</v>
      </c>
      <c r="G267" s="26">
        <v>2</v>
      </c>
      <c r="H267" s="9">
        <v>0</v>
      </c>
      <c r="I267" s="9">
        <v>0</v>
      </c>
      <c r="J267" s="27">
        <v>0</v>
      </c>
      <c r="K267" s="27">
        <v>0</v>
      </c>
      <c r="L267" s="27">
        <v>0</v>
      </c>
      <c r="M267" s="27">
        <v>2</v>
      </c>
      <c r="N267" s="27">
        <v>0</v>
      </c>
      <c r="O267" s="27">
        <v>2</v>
      </c>
      <c r="P267" s="27">
        <v>0</v>
      </c>
    </row>
    <row r="268" spans="2:16" ht="51" x14ac:dyDescent="0.2">
      <c r="B268" s="25">
        <v>267</v>
      </c>
      <c r="C268" s="39" t="s">
        <v>312</v>
      </c>
      <c r="D268" s="36" t="s">
        <v>362</v>
      </c>
      <c r="E268" s="37" t="s">
        <v>365</v>
      </c>
      <c r="F268" s="37" t="s">
        <v>13</v>
      </c>
      <c r="G268" s="26">
        <v>2</v>
      </c>
      <c r="H268" s="9">
        <v>0</v>
      </c>
      <c r="I268" s="9">
        <v>0</v>
      </c>
      <c r="J268" s="27">
        <v>0</v>
      </c>
      <c r="K268" s="27">
        <v>0</v>
      </c>
      <c r="L268" s="27">
        <v>0</v>
      </c>
      <c r="M268" s="27">
        <v>2</v>
      </c>
      <c r="N268" s="27">
        <v>1</v>
      </c>
      <c r="O268" s="27">
        <v>2</v>
      </c>
      <c r="P268" s="27">
        <v>0</v>
      </c>
    </row>
    <row r="269" spans="2:16" x14ac:dyDescent="0.2">
      <c r="B269" s="4"/>
      <c r="C269" s="4"/>
      <c r="D269" s="4"/>
      <c r="F269" s="20" t="s">
        <v>23</v>
      </c>
      <c r="G269" s="17">
        <f>SUM(G2:G268)</f>
        <v>534</v>
      </c>
      <c r="H269" s="17">
        <f t="shared" ref="H269:O269" si="0">SUM(H2:H268)</f>
        <v>397</v>
      </c>
      <c r="I269" s="17">
        <f t="shared" si="0"/>
        <v>335</v>
      </c>
      <c r="J269" s="17">
        <f t="shared" si="0"/>
        <v>300</v>
      </c>
      <c r="K269" s="17">
        <f t="shared" si="0"/>
        <v>45</v>
      </c>
      <c r="L269" s="17">
        <f t="shared" si="0"/>
        <v>8</v>
      </c>
      <c r="M269" s="17">
        <f t="shared" si="0"/>
        <v>484</v>
      </c>
      <c r="N269" s="17">
        <f t="shared" si="0"/>
        <v>224</v>
      </c>
      <c r="O269" s="17">
        <f t="shared" si="0"/>
        <v>206</v>
      </c>
      <c r="P269" s="41">
        <f>SUM(P2:P268)</f>
        <v>202.98923076923077</v>
      </c>
    </row>
    <row r="270" spans="2:16" x14ac:dyDescent="0.2">
      <c r="B270" s="4"/>
      <c r="C270" s="4"/>
      <c r="D270" s="4"/>
      <c r="F270" s="20" t="s">
        <v>24</v>
      </c>
      <c r="G270" s="17">
        <f>G269/5</f>
        <v>106.8</v>
      </c>
      <c r="H270" s="9" cm="1">
        <f t="array" ref="H270">_xlfn.IFS(H269=0,0,H269&lt;100,1,H269&lt;200,2,H269&lt;300,3,H269&lt;400,4,H269&lt;=534,5)</f>
        <v>4</v>
      </c>
      <c r="I270" s="9" cm="1">
        <f t="array" ref="I270">_xlfn.IFS(I269=0,0,I269&lt;100,1,I269&lt;200,2,I269&lt;300,3,I269&lt;400,4,I269&lt;=534,5)</f>
        <v>4</v>
      </c>
      <c r="J270" s="9" cm="1">
        <f t="array" ref="J270">_xlfn.IFS(J269=0,0,J269&lt;100,1,J269&lt;200,2,J269&lt;300,3,J269&lt;400,4,J269&lt;=534,5)</f>
        <v>4</v>
      </c>
      <c r="K270" s="9" cm="1">
        <f t="array" ref="K270">_xlfn.IFS(K269=0,0,K269&lt;100,1,K269&lt;200,2,K269&lt;300,3,K269&lt;400,4,K269&lt;=534,5)</f>
        <v>1</v>
      </c>
      <c r="L270" s="9" cm="1">
        <f t="array" ref="L270">_xlfn.IFS(L269=0,0,L269&lt;100,1,L269&lt;200,2,L269&lt;300,3,L269&lt;400,4,L269&lt;=534,5)</f>
        <v>1</v>
      </c>
      <c r="M270" s="9" cm="1">
        <f t="array" ref="M270">_xlfn.IFS(M269=0,0,M269&lt;100,1,M269&lt;200,2,M269&lt;300,3,M269&lt;400,4,M269&lt;=534,5)</f>
        <v>5</v>
      </c>
      <c r="N270" s="9" cm="1">
        <f t="array" ref="N270">_xlfn.IFS(N269=0,0,N269&lt;100,1,N269&lt;200,2,N269&lt;300,3,N269&lt;400,4,N269&lt;=534,5)</f>
        <v>3</v>
      </c>
      <c r="O270" s="9" cm="1">
        <f t="array" ref="O270">_xlfn.IFS(O269=0,0,O269&lt;100,1,O269&lt;200,2,O269&lt;300,3,O269&lt;400,4,O269&lt;=534,5)</f>
        <v>3</v>
      </c>
      <c r="P270" s="9" cm="1">
        <f t="array" ref="P270">_xlfn.IFS(P269=0,0,P269&lt;100,1,P269&lt;200,2,P269&lt;300,3,P269&lt;400,4,P269&lt;=534,5)</f>
        <v>3</v>
      </c>
    </row>
  </sheetData>
  <autoFilter ref="B1:D9" xr:uid="{761BBE8C-68A0-4163-941F-CA3849766B10}"/>
  <pageMargins left="0.7" right="0.7" top="0.75" bottom="0.75" header="0.3" footer="0.3"/>
  <pageSetup orientation="portrait"/>
  <headerFooter>
    <oddFooter>&amp;C_x000D_&amp;1#&amp;"Calibri"&amp;6&amp;K000000 Clasificación: Uso Interno. Documento Claro Colombia</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4870-D63A-443E-BD85-DC2C2693D474}">
  <dimension ref="B1:M23"/>
  <sheetViews>
    <sheetView showGridLines="0" zoomScale="80" zoomScaleNormal="80" workbookViewId="0">
      <pane xSplit="1" ySplit="1" topLeftCell="B15" activePane="bottomRight" state="frozen"/>
      <selection pane="topRight" activeCell="D1" sqref="D1"/>
      <selection pane="bottomLeft" activeCell="A5" sqref="A5"/>
      <selection pane="bottomRight" activeCell="O20" sqref="O20"/>
    </sheetView>
  </sheetViews>
  <sheetFormatPr baseColWidth="10" defaultColWidth="9.140625" defaultRowHeight="12.75" x14ac:dyDescent="0.2"/>
  <cols>
    <col min="1" max="1" width="3.5703125" customWidth="1"/>
    <col min="2" max="2" width="72.5703125" style="4" customWidth="1"/>
    <col min="3" max="3" width="30.85546875" style="4" customWidth="1"/>
    <col min="4" max="4" width="15.7109375" style="1" bestFit="1" customWidth="1"/>
    <col min="5" max="5" width="8.28515625" style="1" customWidth="1"/>
    <col min="6" max="6" width="4.7109375" style="6" customWidth="1"/>
    <col min="7" max="7" width="6.7109375" style="6" customWidth="1"/>
    <col min="8" max="8" width="7.5703125" style="6" customWidth="1"/>
    <col min="9" max="9" width="8.28515625" style="1" customWidth="1"/>
    <col min="10" max="10" width="4.7109375" style="6" customWidth="1"/>
    <col min="11" max="11" width="6.7109375" style="6" customWidth="1"/>
    <col min="12" max="12" width="7.5703125" style="6" customWidth="1"/>
    <col min="13" max="20" width="9.140625" bestFit="1" customWidth="1"/>
  </cols>
  <sheetData>
    <row r="1" spans="2:13" ht="53.25" x14ac:dyDescent="0.2">
      <c r="B1" s="3" t="s">
        <v>0</v>
      </c>
      <c r="C1" s="3" t="s">
        <v>1</v>
      </c>
      <c r="D1" s="10" t="s">
        <v>2</v>
      </c>
      <c r="E1" s="7" t="s">
        <v>3</v>
      </c>
      <c r="F1" s="7" t="s">
        <v>4</v>
      </c>
      <c r="G1" s="7" t="s">
        <v>5</v>
      </c>
      <c r="H1" s="7" t="s">
        <v>6</v>
      </c>
      <c r="I1" s="7" t="s">
        <v>7</v>
      </c>
      <c r="J1" s="7" t="s">
        <v>8</v>
      </c>
      <c r="K1" s="7" t="s">
        <v>9</v>
      </c>
      <c r="L1" s="7" t="s">
        <v>10</v>
      </c>
      <c r="M1" s="7" t="s">
        <v>11</v>
      </c>
    </row>
    <row r="2" spans="2:13" ht="38.25" x14ac:dyDescent="0.2">
      <c r="B2" s="5" t="s">
        <v>366</v>
      </c>
      <c r="C2" s="5" t="s">
        <v>13</v>
      </c>
      <c r="D2" s="8">
        <v>2</v>
      </c>
      <c r="E2" s="9">
        <v>2</v>
      </c>
      <c r="F2" s="9">
        <v>0</v>
      </c>
      <c r="G2" s="9">
        <v>2</v>
      </c>
      <c r="H2" s="9">
        <v>0</v>
      </c>
      <c r="I2" s="9">
        <v>0</v>
      </c>
      <c r="J2" s="9">
        <v>0</v>
      </c>
      <c r="K2" s="9">
        <v>0</v>
      </c>
      <c r="L2" s="9">
        <v>0</v>
      </c>
      <c r="M2" s="9">
        <v>0</v>
      </c>
    </row>
    <row r="3" spans="2:13" ht="38.25" x14ac:dyDescent="0.2">
      <c r="B3" s="5" t="s">
        <v>367</v>
      </c>
      <c r="C3" s="5" t="s">
        <v>13</v>
      </c>
      <c r="D3" s="8">
        <v>2</v>
      </c>
      <c r="E3" s="9">
        <v>2</v>
      </c>
      <c r="F3" s="9">
        <v>0</v>
      </c>
      <c r="G3" s="9">
        <v>2</v>
      </c>
      <c r="H3" s="9">
        <v>0</v>
      </c>
      <c r="I3" s="9">
        <v>0</v>
      </c>
      <c r="J3" s="9">
        <v>0</v>
      </c>
      <c r="K3" s="9">
        <v>0</v>
      </c>
      <c r="L3" s="9">
        <v>0</v>
      </c>
      <c r="M3" s="9">
        <v>2</v>
      </c>
    </row>
    <row r="4" spans="2:13" ht="38.25" x14ac:dyDescent="0.2">
      <c r="B4" s="5" t="s">
        <v>368</v>
      </c>
      <c r="C4" s="5" t="s">
        <v>13</v>
      </c>
      <c r="D4" s="8">
        <v>2</v>
      </c>
      <c r="E4" s="9">
        <v>2</v>
      </c>
      <c r="F4" s="9">
        <v>0</v>
      </c>
      <c r="G4" s="9">
        <v>2</v>
      </c>
      <c r="H4" s="9">
        <v>0</v>
      </c>
      <c r="I4" s="9">
        <v>0</v>
      </c>
      <c r="J4" s="9">
        <v>2</v>
      </c>
      <c r="K4" s="9">
        <v>0</v>
      </c>
      <c r="L4" s="9">
        <v>0</v>
      </c>
      <c r="M4" s="9">
        <v>2</v>
      </c>
    </row>
    <row r="5" spans="2:13" ht="38.25" x14ac:dyDescent="0.2">
      <c r="B5" s="5" t="s">
        <v>369</v>
      </c>
      <c r="C5" s="5" t="s">
        <v>13</v>
      </c>
      <c r="D5" s="8">
        <v>2</v>
      </c>
      <c r="E5" s="9">
        <v>2</v>
      </c>
      <c r="F5" s="9">
        <v>0</v>
      </c>
      <c r="G5" s="9">
        <v>2</v>
      </c>
      <c r="H5" s="9">
        <v>0</v>
      </c>
      <c r="I5" s="9">
        <v>0</v>
      </c>
      <c r="J5" s="9">
        <v>0</v>
      </c>
      <c r="K5" s="9">
        <v>2</v>
      </c>
      <c r="L5" s="9">
        <v>0</v>
      </c>
      <c r="M5" s="9">
        <v>2</v>
      </c>
    </row>
    <row r="6" spans="2:13" ht="38.25" x14ac:dyDescent="0.2">
      <c r="B6" s="5" t="s">
        <v>370</v>
      </c>
      <c r="C6" s="5" t="s">
        <v>13</v>
      </c>
      <c r="D6" s="8">
        <v>2</v>
      </c>
      <c r="E6" s="9">
        <v>2</v>
      </c>
      <c r="F6" s="9">
        <v>0</v>
      </c>
      <c r="G6" s="9">
        <v>2</v>
      </c>
      <c r="H6" s="9">
        <v>0</v>
      </c>
      <c r="I6" s="9">
        <v>0</v>
      </c>
      <c r="J6" s="9">
        <v>0</v>
      </c>
      <c r="K6" s="9">
        <v>0</v>
      </c>
      <c r="L6" s="9">
        <v>0</v>
      </c>
      <c r="M6" s="9">
        <v>2</v>
      </c>
    </row>
    <row r="7" spans="2:13" ht="38.25" x14ac:dyDescent="0.2">
      <c r="B7" s="5" t="s">
        <v>371</v>
      </c>
      <c r="C7" s="5" t="s">
        <v>13</v>
      </c>
      <c r="D7" s="8">
        <v>2</v>
      </c>
      <c r="E7" s="9">
        <v>2</v>
      </c>
      <c r="F7" s="9">
        <v>0</v>
      </c>
      <c r="G7" s="9">
        <v>2</v>
      </c>
      <c r="H7" s="9">
        <v>0</v>
      </c>
      <c r="I7" s="9">
        <v>0</v>
      </c>
      <c r="J7" s="9">
        <v>0</v>
      </c>
      <c r="K7" s="9">
        <v>0</v>
      </c>
      <c r="L7" s="9">
        <v>0</v>
      </c>
      <c r="M7" s="9">
        <v>0</v>
      </c>
    </row>
    <row r="8" spans="2:13" ht="38.25" x14ac:dyDescent="0.2">
      <c r="B8" s="5" t="s">
        <v>372</v>
      </c>
      <c r="C8" s="5" t="s">
        <v>13</v>
      </c>
      <c r="D8" s="8">
        <v>2</v>
      </c>
      <c r="E8" s="9">
        <v>2</v>
      </c>
      <c r="F8" s="9">
        <v>0</v>
      </c>
      <c r="G8" s="9">
        <v>2</v>
      </c>
      <c r="H8" s="9">
        <v>0</v>
      </c>
      <c r="I8" s="9">
        <v>0</v>
      </c>
      <c r="J8" s="9">
        <v>0</v>
      </c>
      <c r="K8" s="9">
        <v>0</v>
      </c>
      <c r="L8" s="9">
        <v>0</v>
      </c>
      <c r="M8" s="9">
        <v>0</v>
      </c>
    </row>
    <row r="9" spans="2:13" ht="38.25" x14ac:dyDescent="0.2">
      <c r="B9" s="5" t="s">
        <v>373</v>
      </c>
      <c r="C9" s="5" t="s">
        <v>13</v>
      </c>
      <c r="D9" s="8">
        <v>2</v>
      </c>
      <c r="E9" s="9">
        <v>2</v>
      </c>
      <c r="F9" s="9">
        <v>0</v>
      </c>
      <c r="G9" s="9">
        <v>2</v>
      </c>
      <c r="H9" s="9">
        <v>0</v>
      </c>
      <c r="I9" s="9">
        <v>0</v>
      </c>
      <c r="J9" s="9">
        <v>0</v>
      </c>
      <c r="K9" s="9">
        <v>0</v>
      </c>
      <c r="L9" s="9">
        <v>0</v>
      </c>
      <c r="M9" s="9">
        <v>0</v>
      </c>
    </row>
    <row r="10" spans="2:13" ht="38.25" x14ac:dyDescent="0.2">
      <c r="B10" s="5" t="s">
        <v>374</v>
      </c>
      <c r="C10" s="5" t="s">
        <v>13</v>
      </c>
      <c r="D10" s="8">
        <v>2</v>
      </c>
      <c r="E10" s="9">
        <v>2</v>
      </c>
      <c r="F10" s="9">
        <v>0</v>
      </c>
      <c r="G10" s="9">
        <v>2</v>
      </c>
      <c r="H10" s="9">
        <v>0</v>
      </c>
      <c r="I10" s="9">
        <v>0</v>
      </c>
      <c r="J10" s="9">
        <v>0</v>
      </c>
      <c r="K10" s="9">
        <v>0</v>
      </c>
      <c r="L10" s="9">
        <v>0</v>
      </c>
      <c r="M10" s="9">
        <v>0</v>
      </c>
    </row>
    <row r="11" spans="2:13" ht="76.5" x14ac:dyDescent="0.2">
      <c r="B11" s="5" t="s">
        <v>375</v>
      </c>
      <c r="C11" s="5" t="s">
        <v>13</v>
      </c>
      <c r="D11" s="8">
        <v>2</v>
      </c>
      <c r="E11" s="9">
        <v>2</v>
      </c>
      <c r="F11" s="9">
        <v>0</v>
      </c>
      <c r="G11" s="9">
        <v>2</v>
      </c>
      <c r="H11" s="9">
        <v>0</v>
      </c>
      <c r="I11" s="9">
        <v>0</v>
      </c>
      <c r="J11" s="9">
        <v>0</v>
      </c>
      <c r="K11" s="9">
        <v>2</v>
      </c>
      <c r="L11" s="9">
        <v>0</v>
      </c>
      <c r="M11" s="9">
        <v>0</v>
      </c>
    </row>
    <row r="12" spans="2:13" ht="38.25" x14ac:dyDescent="0.2">
      <c r="B12" s="5" t="s">
        <v>376</v>
      </c>
      <c r="C12" s="5" t="s">
        <v>13</v>
      </c>
      <c r="D12" s="8">
        <v>2</v>
      </c>
      <c r="E12" s="9">
        <v>2</v>
      </c>
      <c r="F12" s="9">
        <v>0</v>
      </c>
      <c r="G12" s="9">
        <v>2</v>
      </c>
      <c r="H12" s="9">
        <v>0</v>
      </c>
      <c r="I12" s="9">
        <v>0</v>
      </c>
      <c r="J12" s="9">
        <v>0</v>
      </c>
      <c r="K12" s="9">
        <v>2</v>
      </c>
      <c r="L12" s="9">
        <v>0</v>
      </c>
      <c r="M12" s="9">
        <v>0</v>
      </c>
    </row>
    <row r="13" spans="2:13" ht="63.75" x14ac:dyDescent="0.2">
      <c r="B13" s="5" t="s">
        <v>377</v>
      </c>
      <c r="C13" s="5" t="s">
        <v>13</v>
      </c>
      <c r="D13" s="8">
        <v>2</v>
      </c>
      <c r="E13" s="9">
        <v>2</v>
      </c>
      <c r="F13" s="9">
        <v>0</v>
      </c>
      <c r="G13" s="9">
        <v>2</v>
      </c>
      <c r="H13" s="9">
        <v>0</v>
      </c>
      <c r="I13" s="9">
        <v>0</v>
      </c>
      <c r="J13" s="9">
        <v>0</v>
      </c>
      <c r="K13" s="9">
        <v>0</v>
      </c>
      <c r="L13" s="9">
        <v>0</v>
      </c>
      <c r="M13" s="9">
        <v>0</v>
      </c>
    </row>
    <row r="14" spans="2:13" ht="38.25" x14ac:dyDescent="0.2">
      <c r="B14" s="4" t="s">
        <v>378</v>
      </c>
      <c r="C14" s="5" t="s">
        <v>13</v>
      </c>
      <c r="D14" s="8">
        <v>2</v>
      </c>
      <c r="E14" s="9">
        <v>2</v>
      </c>
      <c r="F14" s="9">
        <v>0</v>
      </c>
      <c r="G14" s="9">
        <v>2</v>
      </c>
      <c r="H14" s="9">
        <v>0</v>
      </c>
      <c r="I14" s="9">
        <v>0</v>
      </c>
      <c r="J14" s="9">
        <v>0</v>
      </c>
      <c r="K14" s="9">
        <v>0</v>
      </c>
      <c r="L14" s="9">
        <v>0</v>
      </c>
      <c r="M14" s="9">
        <v>0</v>
      </c>
    </row>
    <row r="15" spans="2:13" ht="38.25" x14ac:dyDescent="0.2">
      <c r="B15" s="4" t="s">
        <v>379</v>
      </c>
      <c r="C15" s="5" t="s">
        <v>13</v>
      </c>
      <c r="D15" s="8">
        <v>2</v>
      </c>
      <c r="E15" s="9">
        <v>2</v>
      </c>
      <c r="F15" s="9">
        <v>0</v>
      </c>
      <c r="G15" s="9">
        <v>2</v>
      </c>
      <c r="H15" s="9">
        <v>0</v>
      </c>
      <c r="I15" s="9">
        <v>0</v>
      </c>
      <c r="J15" s="9">
        <v>0</v>
      </c>
      <c r="K15" s="9">
        <v>0</v>
      </c>
      <c r="L15" s="9">
        <v>0</v>
      </c>
      <c r="M15" s="9">
        <v>2</v>
      </c>
    </row>
    <row r="16" spans="2:13" ht="38.25" x14ac:dyDescent="0.2">
      <c r="B16" s="4" t="s">
        <v>380</v>
      </c>
      <c r="C16" s="5" t="s">
        <v>13</v>
      </c>
      <c r="D16" s="8">
        <v>2</v>
      </c>
      <c r="E16" s="9">
        <v>2</v>
      </c>
      <c r="F16" s="9">
        <v>0</v>
      </c>
      <c r="G16" s="9">
        <v>2</v>
      </c>
      <c r="H16" s="9">
        <v>0</v>
      </c>
      <c r="I16" s="9">
        <v>0</v>
      </c>
      <c r="J16" s="9">
        <v>0</v>
      </c>
      <c r="K16" s="9">
        <v>2</v>
      </c>
      <c r="L16" s="9">
        <v>0</v>
      </c>
      <c r="M16" s="9">
        <v>2</v>
      </c>
    </row>
    <row r="17" spans="2:13" ht="38.25" x14ac:dyDescent="0.2">
      <c r="B17" s="4" t="s">
        <v>157</v>
      </c>
      <c r="C17" s="5" t="s">
        <v>13</v>
      </c>
      <c r="D17" s="8">
        <v>2</v>
      </c>
      <c r="E17" s="9">
        <v>2</v>
      </c>
      <c r="F17" s="9">
        <v>0</v>
      </c>
      <c r="G17" s="9">
        <v>2</v>
      </c>
      <c r="H17" s="9">
        <v>0</v>
      </c>
      <c r="I17" s="9">
        <v>0</v>
      </c>
      <c r="J17" s="9">
        <v>0</v>
      </c>
      <c r="K17" s="9">
        <v>0</v>
      </c>
      <c r="L17" s="9">
        <v>0</v>
      </c>
      <c r="M17" s="9">
        <v>0</v>
      </c>
    </row>
    <row r="18" spans="2:13" ht="38.25" x14ac:dyDescent="0.2">
      <c r="B18" s="4" t="s">
        <v>381</v>
      </c>
      <c r="C18" s="5" t="s">
        <v>13</v>
      </c>
      <c r="D18" s="8">
        <v>2</v>
      </c>
      <c r="E18" s="9">
        <v>2</v>
      </c>
      <c r="F18" s="9">
        <v>0</v>
      </c>
      <c r="G18" s="9">
        <v>2</v>
      </c>
      <c r="H18" s="9">
        <v>0</v>
      </c>
      <c r="I18" s="9">
        <v>0</v>
      </c>
      <c r="J18" s="9">
        <v>0</v>
      </c>
      <c r="K18" s="9">
        <v>0</v>
      </c>
      <c r="L18" s="9">
        <v>0</v>
      </c>
      <c r="M18" s="9">
        <v>0</v>
      </c>
    </row>
    <row r="19" spans="2:13" ht="38.25" x14ac:dyDescent="0.2">
      <c r="B19" s="4" t="s">
        <v>382</v>
      </c>
      <c r="C19" s="5" t="s">
        <v>13</v>
      </c>
      <c r="D19" s="8">
        <v>2</v>
      </c>
      <c r="E19" s="9">
        <v>2</v>
      </c>
      <c r="F19" s="9">
        <v>0</v>
      </c>
      <c r="G19" s="9">
        <v>2</v>
      </c>
      <c r="H19" s="9">
        <v>0</v>
      </c>
      <c r="I19" s="9">
        <v>0</v>
      </c>
      <c r="J19" s="9">
        <v>0</v>
      </c>
      <c r="K19" s="9">
        <v>2</v>
      </c>
      <c r="L19" s="9">
        <v>0</v>
      </c>
      <c r="M19" s="9">
        <v>0</v>
      </c>
    </row>
    <row r="20" spans="2:13" ht="38.25" x14ac:dyDescent="0.2">
      <c r="B20" s="4" t="s">
        <v>383</v>
      </c>
      <c r="C20" s="5" t="s">
        <v>13</v>
      </c>
      <c r="D20" s="8">
        <v>2</v>
      </c>
      <c r="E20" s="9">
        <v>2</v>
      </c>
      <c r="F20" s="9">
        <v>0</v>
      </c>
      <c r="G20" s="9">
        <v>2</v>
      </c>
      <c r="H20" s="9">
        <v>0</v>
      </c>
      <c r="I20" s="9">
        <v>0</v>
      </c>
      <c r="J20" s="9">
        <v>0</v>
      </c>
      <c r="K20" s="9">
        <v>1</v>
      </c>
      <c r="L20" s="9">
        <v>0</v>
      </c>
      <c r="M20" s="9">
        <v>1</v>
      </c>
    </row>
    <row r="21" spans="2:13" ht="38.25" x14ac:dyDescent="0.2">
      <c r="B21" s="4" t="s">
        <v>384</v>
      </c>
      <c r="C21" s="5" t="s">
        <v>13</v>
      </c>
      <c r="D21" s="8">
        <v>2</v>
      </c>
      <c r="E21" s="9">
        <v>2</v>
      </c>
      <c r="F21" s="9">
        <v>0</v>
      </c>
      <c r="G21" s="9">
        <v>2</v>
      </c>
      <c r="H21" s="9">
        <v>0</v>
      </c>
      <c r="I21" s="9">
        <v>0</v>
      </c>
      <c r="J21" s="9">
        <v>0</v>
      </c>
      <c r="K21" s="9">
        <v>0</v>
      </c>
      <c r="L21" s="9">
        <v>0</v>
      </c>
      <c r="M21" s="9">
        <v>0</v>
      </c>
    </row>
    <row r="22" spans="2:13" x14ac:dyDescent="0.2">
      <c r="C22" s="20" t="s">
        <v>23</v>
      </c>
      <c r="D22" s="17">
        <f t="shared" ref="D22:M22" si="0">SUM(D2:D21)</f>
        <v>40</v>
      </c>
      <c r="E22" s="17">
        <f t="shared" si="0"/>
        <v>40</v>
      </c>
      <c r="F22" s="17">
        <f t="shared" si="0"/>
        <v>0</v>
      </c>
      <c r="G22" s="17">
        <f t="shared" si="0"/>
        <v>40</v>
      </c>
      <c r="H22" s="17">
        <f t="shared" si="0"/>
        <v>0</v>
      </c>
      <c r="I22" s="17">
        <f t="shared" si="0"/>
        <v>0</v>
      </c>
      <c r="J22" s="17">
        <f t="shared" si="0"/>
        <v>2</v>
      </c>
      <c r="K22" s="17">
        <f t="shared" si="0"/>
        <v>11</v>
      </c>
      <c r="L22" s="17">
        <f t="shared" si="0"/>
        <v>0</v>
      </c>
      <c r="M22" s="17">
        <f t="shared" si="0"/>
        <v>13</v>
      </c>
    </row>
    <row r="23" spans="2:13" x14ac:dyDescent="0.2">
      <c r="C23" s="20" t="s">
        <v>24</v>
      </c>
      <c r="D23" s="9">
        <f>D22/5</f>
        <v>8</v>
      </c>
      <c r="E23" s="9" cm="1">
        <f t="array" ref="E23">_xlfn.IFS(E22=0,0,E22&lt;8,1,E22&lt;16,2,E22&lt;24,3,E22&lt;32,4,E22&lt;=40,5)</f>
        <v>5</v>
      </c>
      <c r="F23" s="9" cm="1">
        <f t="array" ref="F23">_xlfn.IFS(F22=0,0,F22&lt;8,1,F22&lt;16,2,F22&lt;24,3,F22&lt;32,4,F22&lt;=40,5)</f>
        <v>0</v>
      </c>
      <c r="G23" s="9" cm="1">
        <f t="array" ref="G23">_xlfn.IFS(G22=0,0,G22&lt;8,1,G22&lt;16,2,G22&lt;24,3,G22&lt;32,4,G22&lt;=40,5)</f>
        <v>5</v>
      </c>
      <c r="H23" s="9" cm="1">
        <f t="array" ref="H23">_xlfn.IFS(H22=0,0,H22&lt;8,1,H22&lt;16,2,H22&lt;24,3,H22&lt;32,4,H22&lt;=40,5)</f>
        <v>0</v>
      </c>
      <c r="I23" s="9" cm="1">
        <f t="array" ref="I23">_xlfn.IFS(I22=0,0,I22&lt;8,1,I22&lt;16,2,I22&lt;24,3,I22&lt;32,4,I22&lt;=40,5)</f>
        <v>0</v>
      </c>
      <c r="J23" s="9" cm="1">
        <f t="array" ref="J23">_xlfn.IFS(J22=0,0,J22&lt;8,1,J22&lt;16,2,J22&lt;24,3,J22&lt;32,4,J22&lt;=40,5)</f>
        <v>1</v>
      </c>
      <c r="K23" s="9" cm="1">
        <f t="array" ref="K23">_xlfn.IFS(K22=0,0,K22&lt;8,1,K22&lt;16,2,K22&lt;24,3,K22&lt;32,4,K22&lt;=40,5)</f>
        <v>2</v>
      </c>
      <c r="L23" s="9" cm="1">
        <f t="array" ref="L23">_xlfn.IFS(L22=0,0,L22&lt;8,1,L22&lt;16,2,L22&lt;24,3,L22&lt;32,4,L22&lt;=40,5)</f>
        <v>0</v>
      </c>
      <c r="M23" s="9" cm="1">
        <f t="array" ref="M23">_xlfn.IFS(M22=0,0,M22&lt;8,1,M22&lt;16,2,M22&lt;24,3,M22&lt;32,4,M22&lt;=40,5)</f>
        <v>2</v>
      </c>
    </row>
  </sheetData>
  <phoneticPr fontId="3" type="noConversion"/>
  <pageMargins left="0.7" right="0.7" top="0.75" bottom="0.75" header="0.3" footer="0.3"/>
  <pageSetup orientation="portrait"/>
  <headerFooter>
    <oddFooter>&amp;C_x000D_&amp;1#&amp;"Calibri"&amp;6&amp;K000000 Clasificación: Uso Interno. Documento Claro Colombia</oddFooter>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DFA8-6D0A-4FF0-A4AE-6786E922008B}">
  <dimension ref="B1:M9"/>
  <sheetViews>
    <sheetView showGridLines="0" zoomScale="112" zoomScaleNormal="98" workbookViewId="0">
      <pane xSplit="1" ySplit="1" topLeftCell="B2" activePane="bottomRight" state="frozen"/>
      <selection pane="topRight" activeCell="D1" sqref="D1"/>
      <selection pane="bottomLeft" activeCell="A5" sqref="A5"/>
      <selection pane="bottomRight" activeCell="E3" sqref="E3"/>
    </sheetView>
  </sheetViews>
  <sheetFormatPr baseColWidth="10" defaultColWidth="9.140625" defaultRowHeight="12.75" x14ac:dyDescent="0.2"/>
  <cols>
    <col min="1" max="1" width="3.5703125" customWidth="1"/>
    <col min="2" max="2" width="75" style="4" customWidth="1"/>
    <col min="3" max="3" width="30.85546875" style="4" customWidth="1"/>
    <col min="4" max="4" width="15.7109375" style="1" bestFit="1" customWidth="1"/>
    <col min="5" max="5" width="8.28515625" style="1" customWidth="1"/>
    <col min="6" max="6" width="4.7109375" style="6" customWidth="1"/>
    <col min="7" max="7" width="6.7109375" style="6" customWidth="1"/>
    <col min="8" max="8" width="7.5703125" style="6" customWidth="1"/>
    <col min="9" max="20" width="9.140625" bestFit="1" customWidth="1"/>
  </cols>
  <sheetData>
    <row r="1" spans="2:13" ht="42.75" x14ac:dyDescent="0.2">
      <c r="B1" s="3" t="s">
        <v>0</v>
      </c>
      <c r="C1" s="3" t="s">
        <v>1</v>
      </c>
      <c r="D1" s="10" t="s">
        <v>2</v>
      </c>
      <c r="E1" s="7" t="s">
        <v>3</v>
      </c>
      <c r="F1" s="7" t="s">
        <v>4</v>
      </c>
      <c r="G1" s="7" t="s">
        <v>5</v>
      </c>
      <c r="H1" s="7" t="s">
        <v>6</v>
      </c>
      <c r="I1" s="21" t="s">
        <v>7</v>
      </c>
      <c r="J1" s="21" t="s">
        <v>8</v>
      </c>
      <c r="K1" s="21" t="s">
        <v>9</v>
      </c>
      <c r="L1" s="21" t="s">
        <v>10</v>
      </c>
      <c r="M1" s="21" t="s">
        <v>11</v>
      </c>
    </row>
    <row r="2" spans="2:13" ht="38.25" x14ac:dyDescent="0.2">
      <c r="B2" s="5" t="s">
        <v>385</v>
      </c>
      <c r="C2" s="5" t="s">
        <v>13</v>
      </c>
      <c r="D2" s="8">
        <v>2</v>
      </c>
      <c r="E2" s="9">
        <v>2</v>
      </c>
      <c r="F2" s="9">
        <v>2</v>
      </c>
      <c r="G2" s="9">
        <v>2</v>
      </c>
      <c r="H2" s="9">
        <v>2</v>
      </c>
      <c r="I2" s="9">
        <v>2</v>
      </c>
      <c r="J2" s="9">
        <v>2</v>
      </c>
      <c r="K2" s="9">
        <v>2</v>
      </c>
      <c r="L2" s="9">
        <v>2</v>
      </c>
      <c r="M2" s="9">
        <v>2</v>
      </c>
    </row>
    <row r="3" spans="2:13" ht="38.25" x14ac:dyDescent="0.2">
      <c r="B3" s="5" t="s">
        <v>386</v>
      </c>
      <c r="C3" s="5" t="s">
        <v>13</v>
      </c>
      <c r="D3" s="8">
        <v>2</v>
      </c>
      <c r="E3" s="9">
        <v>0</v>
      </c>
      <c r="F3" s="9">
        <v>2</v>
      </c>
      <c r="G3" s="9">
        <v>2</v>
      </c>
      <c r="H3" s="9">
        <v>0</v>
      </c>
      <c r="I3" s="9">
        <v>0</v>
      </c>
      <c r="J3" s="9">
        <v>2</v>
      </c>
      <c r="K3" s="9">
        <v>1</v>
      </c>
      <c r="L3" s="9">
        <v>2</v>
      </c>
      <c r="M3" s="9">
        <v>1</v>
      </c>
    </row>
    <row r="4" spans="2:13" ht="38.25" x14ac:dyDescent="0.2">
      <c r="B4" s="5" t="s">
        <v>387</v>
      </c>
      <c r="C4" s="5" t="s">
        <v>13</v>
      </c>
      <c r="D4" s="8">
        <v>2</v>
      </c>
      <c r="E4" s="9">
        <v>2</v>
      </c>
      <c r="F4" s="9">
        <v>2</v>
      </c>
      <c r="G4" s="9">
        <v>2</v>
      </c>
      <c r="H4" s="9">
        <v>2</v>
      </c>
      <c r="I4" s="9">
        <v>2</v>
      </c>
      <c r="J4" s="9">
        <v>2</v>
      </c>
      <c r="K4" s="9">
        <v>2</v>
      </c>
      <c r="L4" s="9">
        <v>2</v>
      </c>
      <c r="M4" s="9">
        <v>2</v>
      </c>
    </row>
    <row r="5" spans="2:13" ht="38.25" x14ac:dyDescent="0.2">
      <c r="B5" s="5" t="s">
        <v>388</v>
      </c>
      <c r="C5" s="5" t="s">
        <v>13</v>
      </c>
      <c r="D5" s="8">
        <v>2</v>
      </c>
      <c r="E5" s="9">
        <v>2</v>
      </c>
      <c r="F5" s="9">
        <v>2</v>
      </c>
      <c r="G5" s="9">
        <v>2</v>
      </c>
      <c r="H5" s="9">
        <v>1</v>
      </c>
      <c r="I5" s="9">
        <v>2</v>
      </c>
      <c r="J5" s="9">
        <v>2</v>
      </c>
      <c r="K5" s="9">
        <v>2</v>
      </c>
      <c r="L5" s="9">
        <v>2</v>
      </c>
      <c r="M5" s="9">
        <v>2</v>
      </c>
    </row>
    <row r="6" spans="2:13" ht="38.25" x14ac:dyDescent="0.2">
      <c r="B6" s="5" t="s">
        <v>389</v>
      </c>
      <c r="C6" s="5" t="s">
        <v>13</v>
      </c>
      <c r="D6" s="8">
        <v>2</v>
      </c>
      <c r="E6" s="9">
        <v>2</v>
      </c>
      <c r="F6" s="9">
        <v>1</v>
      </c>
      <c r="G6" s="9">
        <v>2</v>
      </c>
      <c r="H6" s="9">
        <v>1</v>
      </c>
      <c r="I6" s="9">
        <v>2</v>
      </c>
      <c r="J6" s="9">
        <v>2</v>
      </c>
      <c r="K6" s="9">
        <v>1</v>
      </c>
      <c r="L6" s="9">
        <v>1</v>
      </c>
      <c r="M6" s="9">
        <v>1</v>
      </c>
    </row>
    <row r="7" spans="2:13" ht="38.25" x14ac:dyDescent="0.2">
      <c r="B7" s="5" t="s">
        <v>390</v>
      </c>
      <c r="C7" s="5" t="s">
        <v>13</v>
      </c>
      <c r="D7" s="8">
        <v>2</v>
      </c>
      <c r="E7" s="9">
        <v>2</v>
      </c>
      <c r="F7" s="9">
        <v>2</v>
      </c>
      <c r="G7" s="9">
        <v>2</v>
      </c>
      <c r="H7" s="9">
        <v>1</v>
      </c>
      <c r="I7" s="9">
        <v>2</v>
      </c>
      <c r="J7" s="9">
        <v>2</v>
      </c>
      <c r="K7" s="9">
        <v>2</v>
      </c>
      <c r="L7" s="9">
        <v>2</v>
      </c>
      <c r="M7" s="9">
        <v>1</v>
      </c>
    </row>
    <row r="8" spans="2:13" x14ac:dyDescent="0.2">
      <c r="C8" s="42" t="s">
        <v>23</v>
      </c>
      <c r="D8" s="8">
        <f t="shared" ref="D8:M8" si="0">SUM(D2:D7)</f>
        <v>12</v>
      </c>
      <c r="E8" s="8">
        <f t="shared" si="0"/>
        <v>10</v>
      </c>
      <c r="F8" s="8">
        <f t="shared" si="0"/>
        <v>11</v>
      </c>
      <c r="G8" s="8">
        <f t="shared" si="0"/>
        <v>12</v>
      </c>
      <c r="H8" s="8">
        <f t="shared" si="0"/>
        <v>7</v>
      </c>
      <c r="I8" s="8">
        <f t="shared" si="0"/>
        <v>10</v>
      </c>
      <c r="J8" s="8">
        <f t="shared" si="0"/>
        <v>12</v>
      </c>
      <c r="K8" s="8">
        <f t="shared" si="0"/>
        <v>10</v>
      </c>
      <c r="L8" s="8">
        <f t="shared" si="0"/>
        <v>11</v>
      </c>
      <c r="M8" s="8">
        <f t="shared" si="0"/>
        <v>9</v>
      </c>
    </row>
    <row r="9" spans="2:13" x14ac:dyDescent="0.2">
      <c r="C9" s="42" t="s">
        <v>24</v>
      </c>
      <c r="D9" s="8">
        <f>D8/5</f>
        <v>2.4</v>
      </c>
      <c r="E9" s="9" cm="1">
        <f t="array" ref="E9">_xlfn.IFS(E8&lt;2.5,1,E8&lt;5,2,E8&lt;8,3,E8&lt;10.5,4,E8&lt;=12,5)</f>
        <v>4</v>
      </c>
      <c r="F9" s="9" cm="1">
        <f t="array" ref="F9">_xlfn.IFS(F8&lt;2.5,1,F8&lt;5,2,F8&lt;8,3,F8&lt;10.5,4,F8&lt;=12,5)</f>
        <v>5</v>
      </c>
      <c r="G9" s="9" cm="1">
        <f t="array" ref="G9">_xlfn.IFS(G8&lt;2.5,1,G8&lt;5,2,G8&lt;8,3,G8&lt;10.5,4,G8&lt;=12,5)</f>
        <v>5</v>
      </c>
      <c r="H9" s="9" cm="1">
        <f t="array" ref="H9">_xlfn.IFS(H8&lt;2.5,1,H8&lt;5,2,H8&lt;8,3,H8&lt;10.5,4,H8&lt;=12,5)</f>
        <v>3</v>
      </c>
      <c r="I9" s="9" cm="1">
        <f t="array" ref="I9">_xlfn.IFS(I8&lt;2.5,1,I8&lt;5,2,I8&lt;8,3,I8&lt;10.5,4,I8&lt;=12,5)</f>
        <v>4</v>
      </c>
      <c r="J9" s="9" cm="1">
        <f t="array" ref="J9">_xlfn.IFS(J8&lt;2.5,1,J8&lt;5,2,J8&lt;8,3,J8&lt;10.5,4,J8&lt;=12,5)</f>
        <v>5</v>
      </c>
      <c r="K9" s="9" cm="1">
        <f t="array" ref="K9">_xlfn.IFS(K8&lt;2.5,1,K8&lt;5,2,K8&lt;8,3,K8&lt;10.5,4,K8&lt;=12,5)</f>
        <v>4</v>
      </c>
      <c r="L9" s="9" cm="1">
        <f t="array" ref="L9">_xlfn.IFS(L8&lt;2.5,1,L8&lt;5,2,L8&lt;8,3,L8&lt;10.5,4,L8&lt;=12,5)</f>
        <v>5</v>
      </c>
      <c r="M9" s="9" cm="1">
        <f t="array" ref="M9">_xlfn.IFS(M8&lt;2.5,1,M8&lt;5,2,M8&lt;8,3,M8&lt;10.5,4,M8&lt;=12,5)</f>
        <v>4</v>
      </c>
    </row>
  </sheetData>
  <pageMargins left="0.7" right="0.7" top="0.75" bottom="0.75" header="0.3" footer="0.3"/>
  <pageSetup orientation="portrait"/>
  <headerFooter>
    <oddFooter>&amp;C_x000D_&amp;1#&amp;"Calibri"&amp;6&amp;K000000 Clasificación: Uso Interno. Documento Claro Colombia</oddFooter>
  </headerFooter>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6578-7450-4DF9-AC77-8DAA8BB96B18}">
  <dimension ref="B2:L10"/>
  <sheetViews>
    <sheetView showGridLines="0" workbookViewId="0">
      <selection activeCell="H21" sqref="H21"/>
    </sheetView>
  </sheetViews>
  <sheetFormatPr baseColWidth="10" defaultColWidth="11.42578125" defaultRowHeight="12.75" x14ac:dyDescent="0.2"/>
  <cols>
    <col min="1" max="1" width="4.140625" customWidth="1"/>
    <col min="2" max="2" width="5.5703125" style="11" bestFit="1" customWidth="1"/>
    <col min="3" max="3" width="22.28515625" bestFit="1" customWidth="1"/>
    <col min="4" max="4" width="5" bestFit="1" customWidth="1"/>
    <col min="5" max="5" width="9.5703125" bestFit="1" customWidth="1"/>
    <col min="6" max="6" width="8" bestFit="1" customWidth="1"/>
    <col min="7" max="7" width="6.28515625" bestFit="1" customWidth="1"/>
    <col min="8" max="8" width="8.7109375" bestFit="1" customWidth="1"/>
    <col min="9" max="9" width="8.85546875" bestFit="1" customWidth="1"/>
    <col min="10" max="10" width="8.28515625" bestFit="1" customWidth="1"/>
    <col min="11" max="11" width="8" bestFit="1" customWidth="1"/>
    <col min="12" max="12" width="12.42578125" bestFit="1" customWidth="1"/>
  </cols>
  <sheetData>
    <row r="2" spans="2:12" s="11" customFormat="1" ht="24" customHeight="1" x14ac:dyDescent="0.2">
      <c r="B2" s="44" t="s">
        <v>391</v>
      </c>
      <c r="C2" s="46" t="s">
        <v>392</v>
      </c>
      <c r="D2" s="48" t="s">
        <v>393</v>
      </c>
      <c r="E2" s="48"/>
      <c r="F2" s="48"/>
      <c r="G2" s="48"/>
      <c r="H2" s="48"/>
      <c r="I2" s="48"/>
      <c r="J2" s="48"/>
      <c r="K2" s="48"/>
      <c r="L2" s="30"/>
    </row>
    <row r="3" spans="2:12" s="11" customFormat="1" x14ac:dyDescent="0.2">
      <c r="B3" s="45"/>
      <c r="C3" s="47"/>
      <c r="D3" s="16" t="s">
        <v>3</v>
      </c>
      <c r="E3" s="16" t="s">
        <v>4</v>
      </c>
      <c r="F3" s="16" t="s">
        <v>5</v>
      </c>
      <c r="G3" s="16" t="s">
        <v>6</v>
      </c>
      <c r="H3" s="16" t="s">
        <v>7</v>
      </c>
      <c r="I3" s="16" t="s">
        <v>8</v>
      </c>
      <c r="J3" s="16" t="s">
        <v>9</v>
      </c>
      <c r="K3" s="16" t="s">
        <v>10</v>
      </c>
      <c r="L3" s="16" t="s">
        <v>11</v>
      </c>
    </row>
    <row r="4" spans="2:12" ht="18" customHeight="1" x14ac:dyDescent="0.2">
      <c r="B4" s="12">
        <v>0.3</v>
      </c>
      <c r="C4" s="15" t="s">
        <v>394</v>
      </c>
      <c r="D4" s="22">
        <f>Funcional!E13</f>
        <v>5</v>
      </c>
      <c r="E4" s="22">
        <f>Funcional!F13</f>
        <v>3</v>
      </c>
      <c r="F4" s="22">
        <f>Funcional!G13</f>
        <v>5</v>
      </c>
      <c r="G4" s="22">
        <f>Funcional!H13</f>
        <v>4</v>
      </c>
      <c r="H4" s="22">
        <f>Funcional!I13</f>
        <v>3</v>
      </c>
      <c r="I4" s="22">
        <f>Funcional!J13</f>
        <v>4</v>
      </c>
      <c r="J4" s="22">
        <f>Funcional!K13</f>
        <v>4</v>
      </c>
      <c r="K4" s="22">
        <f>Funcional!L13</f>
        <v>3</v>
      </c>
      <c r="L4" s="22">
        <f>Funcional!M13</f>
        <v>3</v>
      </c>
    </row>
    <row r="5" spans="2:12" ht="18" customHeight="1" x14ac:dyDescent="0.2">
      <c r="B5" s="12">
        <v>0.3</v>
      </c>
      <c r="C5" s="15" t="s">
        <v>395</v>
      </c>
      <c r="D5" s="22">
        <f>Técnico!E31</f>
        <v>3</v>
      </c>
      <c r="E5" s="22">
        <f>Técnico!F31</f>
        <v>3</v>
      </c>
      <c r="F5" s="22">
        <f>Técnico!G31</f>
        <v>5</v>
      </c>
      <c r="G5" s="22">
        <f>Técnico!H31</f>
        <v>3</v>
      </c>
      <c r="H5" s="22">
        <f>Técnico!I31</f>
        <v>2</v>
      </c>
      <c r="I5" s="22">
        <f>Técnico!J31</f>
        <v>3</v>
      </c>
      <c r="J5" s="22">
        <f>Técnico!K31</f>
        <v>2</v>
      </c>
      <c r="K5" s="22">
        <f>Técnico!L31</f>
        <v>4</v>
      </c>
      <c r="L5" s="22">
        <f>Técnico!M31</f>
        <v>3</v>
      </c>
    </row>
    <row r="6" spans="2:12" ht="18" customHeight="1" x14ac:dyDescent="0.2">
      <c r="B6" s="12">
        <v>0.15</v>
      </c>
      <c r="C6" s="15" t="s">
        <v>396</v>
      </c>
      <c r="D6" s="22" cm="1">
        <f t="array" ref="D6:L6">Arquitectura!H270:P270</f>
        <v>4</v>
      </c>
      <c r="E6" s="22">
        <v>4</v>
      </c>
      <c r="F6" s="22">
        <v>4</v>
      </c>
      <c r="G6" s="22">
        <v>1</v>
      </c>
      <c r="H6" s="22">
        <v>1</v>
      </c>
      <c r="I6" s="22">
        <v>5</v>
      </c>
      <c r="J6" s="22">
        <v>3</v>
      </c>
      <c r="K6" s="22">
        <v>3</v>
      </c>
      <c r="L6" s="22">
        <v>3</v>
      </c>
    </row>
    <row r="7" spans="2:12" ht="18" customHeight="1" x14ac:dyDescent="0.2">
      <c r="B7" s="12">
        <v>0.1</v>
      </c>
      <c r="C7" s="15" t="s">
        <v>397</v>
      </c>
      <c r="D7" s="22">
        <f>Seguridad!E23</f>
        <v>5</v>
      </c>
      <c r="E7" s="22">
        <f>Seguridad!F23</f>
        <v>0</v>
      </c>
      <c r="F7" s="22">
        <f>Seguridad!G23</f>
        <v>5</v>
      </c>
      <c r="G7" s="22">
        <f>Seguridad!H23</f>
        <v>0</v>
      </c>
      <c r="H7" s="22">
        <f>Seguridad!I23</f>
        <v>0</v>
      </c>
      <c r="I7" s="22">
        <f>Seguridad!J23</f>
        <v>1</v>
      </c>
      <c r="J7" s="22">
        <f>Seguridad!K23</f>
        <v>2</v>
      </c>
      <c r="K7" s="22">
        <f>Seguridad!L23</f>
        <v>0</v>
      </c>
      <c r="L7" s="22">
        <f>Seguridad!M23</f>
        <v>2</v>
      </c>
    </row>
    <row r="8" spans="2:12" ht="18" customHeight="1" x14ac:dyDescent="0.2">
      <c r="B8" s="12">
        <v>0.15</v>
      </c>
      <c r="C8" s="15" t="s">
        <v>398</v>
      </c>
      <c r="D8" s="22">
        <f>Riesgo!E9</f>
        <v>4</v>
      </c>
      <c r="E8" s="22">
        <f>Riesgo!F9</f>
        <v>5</v>
      </c>
      <c r="F8" s="22">
        <f>Riesgo!G9</f>
        <v>5</v>
      </c>
      <c r="G8" s="22">
        <f>Riesgo!H9</f>
        <v>3</v>
      </c>
      <c r="H8" s="22">
        <f>Riesgo!I9</f>
        <v>4</v>
      </c>
      <c r="I8" s="22">
        <f>Riesgo!J9</f>
        <v>5</v>
      </c>
      <c r="J8" s="22">
        <f>Riesgo!K9</f>
        <v>4</v>
      </c>
      <c r="K8" s="22">
        <f>Riesgo!L9</f>
        <v>5</v>
      </c>
      <c r="L8" s="22">
        <f>Riesgo!M9</f>
        <v>4</v>
      </c>
    </row>
    <row r="9" spans="2:12" ht="18" customHeight="1" x14ac:dyDescent="0.2">
      <c r="B9" s="13">
        <v>1</v>
      </c>
      <c r="C9" s="14" t="s">
        <v>399</v>
      </c>
      <c r="D9" s="24">
        <f>SUMPRODUCT($B$4:$B$8,D4:D8)</f>
        <v>4.0999999999999996</v>
      </c>
      <c r="E9" s="23">
        <f t="shared" ref="E9:K9" si="0">SUMPRODUCT($B$4:$B$8,E4:E8)</f>
        <v>3.15</v>
      </c>
      <c r="F9" s="24">
        <f t="shared" si="0"/>
        <v>4.8499999999999996</v>
      </c>
      <c r="G9" s="23">
        <f t="shared" si="0"/>
        <v>2.6999999999999993</v>
      </c>
      <c r="H9" s="23">
        <f t="shared" si="0"/>
        <v>2.25</v>
      </c>
      <c r="I9" s="43">
        <f t="shared" si="0"/>
        <v>3.6999999999999997</v>
      </c>
      <c r="J9" s="23">
        <f t="shared" si="0"/>
        <v>3.0500000000000003</v>
      </c>
      <c r="K9" s="23">
        <f t="shared" si="0"/>
        <v>3.3</v>
      </c>
      <c r="L9" s="23">
        <f t="shared" ref="L9" si="1">SUMPRODUCT($B$4:$B$8,L4:L8)</f>
        <v>3.0500000000000003</v>
      </c>
    </row>
    <row r="10" spans="2:12" ht="12.75" customHeight="1" x14ac:dyDescent="0.2"/>
  </sheetData>
  <mergeCells count="3">
    <mergeCell ref="B2:B3"/>
    <mergeCell ref="C2:C3"/>
    <mergeCell ref="D2:K2"/>
  </mergeCells>
  <pageMargins left="0.7" right="0.7" top="0.75" bottom="0.75" header="0.3" footer="0.3"/>
  <pageSetup paperSize="9" orientation="portrait"/>
  <headerFooter>
    <oddFooter>&amp;C_x000D_&amp;1#&amp;"Calibri"&amp;6&amp;K000000 Clasificación: Uso Interno. Documento Claro Colombia</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2E9ED5DB3B46408A2BA12DBE6C2EC1" ma:contentTypeVersion="11" ma:contentTypeDescription="Create a new document." ma:contentTypeScope="" ma:versionID="726847e21b2c8666d9e24dc8711d0be2">
  <xsd:schema xmlns:xsd="http://www.w3.org/2001/XMLSchema" xmlns:xs="http://www.w3.org/2001/XMLSchema" xmlns:p="http://schemas.microsoft.com/office/2006/metadata/properties" xmlns:ns2="5082e666-2840-412a-9e86-dd4ad534ac30" xmlns:ns3="04269400-cb4a-4048-b821-0bbb9ac38a24" targetNamespace="http://schemas.microsoft.com/office/2006/metadata/properties" ma:root="true" ma:fieldsID="bbdec2159fe897d372de69d793ce34e4" ns2:_="" ns3:_="">
    <xsd:import namespace="5082e666-2840-412a-9e86-dd4ad534ac30"/>
    <xsd:import namespace="04269400-cb4a-4048-b821-0bbb9ac38a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82e666-2840-412a-9e86-dd4ad534ac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269400-cb4a-4048-b821-0bbb9ac38a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1e303ba-1de5-4e0b-a2cd-1e2f383f3909}" ma:internalName="TaxCatchAll" ma:showField="CatchAllData" ma:web="04269400-cb4a-4048-b821-0bbb9ac38a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4269400-cb4a-4048-b821-0bbb9ac38a24" xsi:nil="true"/>
    <lcf76f155ced4ddcb4097134ff3c332f xmlns="5082e666-2840-412a-9e86-dd4ad534ac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A21708-6D37-448D-83C8-26824E7E3803}">
  <ds:schemaRefs>
    <ds:schemaRef ds:uri="http://schemas.microsoft.com/sharepoint/v3/contenttype/forms"/>
  </ds:schemaRefs>
</ds:datastoreItem>
</file>

<file path=customXml/itemProps2.xml><?xml version="1.0" encoding="utf-8"?>
<ds:datastoreItem xmlns:ds="http://schemas.openxmlformats.org/officeDocument/2006/customXml" ds:itemID="{9EC26DBC-55E7-47F5-B2FC-6545784B02BC}"/>
</file>

<file path=customXml/itemProps3.xml><?xml version="1.0" encoding="utf-8"?>
<ds:datastoreItem xmlns:ds="http://schemas.openxmlformats.org/officeDocument/2006/customXml" ds:itemID="{A49FDF72-0DAF-4E28-A199-DC97C57920D7}">
  <ds:schemaRefs>
    <ds:schemaRef ds:uri="http://schemas.microsoft.com/sharepoint/v3/fields"/>
    <ds:schemaRef ds:uri="http://schemas.openxmlformats.org/package/2006/metadata/core-properties"/>
    <ds:schemaRef ds:uri="http://purl.org/dc/elements/1.1/"/>
    <ds:schemaRef ds:uri="http://purl.org/dc/dcmitype/"/>
    <ds:schemaRef ds:uri="http://purl.org/dc/terms/"/>
    <ds:schemaRef ds:uri="4ecf285e-078e-4100-b41e-d1323cf54407"/>
    <ds:schemaRef ds:uri="http://schemas.microsoft.com/office/2006/documentManagement/types"/>
    <ds:schemaRef ds:uri="http://www.w3.org/XML/1998/namespace"/>
    <ds:schemaRef ds:uri="http://schemas.microsoft.com/office/infopath/2007/PartnerControls"/>
    <ds:schemaRef ds:uri="80e8a80f-cbbe-4f55-b0ac-7c33d8803f2f"/>
    <ds:schemaRef ds:uri="http://schemas.microsoft.com/office/2006/metadata/properties"/>
  </ds:schemaRefs>
</ds:datastoreItem>
</file>

<file path=docMetadata/LabelInfo.xml><?xml version="1.0" encoding="utf-8"?>
<clbl:labelList xmlns:clbl="http://schemas.microsoft.com/office/2020/mipLabelMetadata">
  <clbl:label id="{349e4846-88cf-4894-bf06-ac98d70f27be}" enabled="1" method="Privileged" siteId="{5fd5460a-b425-49de-9bd0-fcd26270d30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Funcional</vt:lpstr>
      <vt:lpstr>Técnico</vt:lpstr>
      <vt:lpstr>Arqui1</vt:lpstr>
      <vt:lpstr>Arquitectura</vt:lpstr>
      <vt:lpstr>Seguridad</vt:lpstr>
      <vt:lpstr>Riesgo</vt:lpstr>
      <vt:lpstr>Resumen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Chamorro</dc:creator>
  <cp:keywords/>
  <dc:description/>
  <cp:lastModifiedBy>Rosa Patricia Garcia Polo</cp:lastModifiedBy>
  <cp:revision/>
  <dcterms:created xsi:type="dcterms:W3CDTF">2023-07-13T19:35:02Z</dcterms:created>
  <dcterms:modified xsi:type="dcterms:W3CDTF">2025-11-14T17:24:55Z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0x010100372E9ED5DB3B46408A2BA12DBE6C2EC1</vt:lpwstr>
  </property>
  <property fmtid="{D5CDD505-2E9C-101B-9397-08002B2CF9AE}" pid="3" name="MediaServiceImageTags">
    <vt:lpwstr/>
  </property>
  <property fmtid="{D5CDD505-2E9C-101B-9397-08002B2CF9AE}" pid="4" name="MSIP_Label_5bdf07b2-0175-4a85-af11-305389ad5d4d_Enabled">
    <vt:lpwstr>true</vt:lpwstr>
  </property>
  <property fmtid="{D5CDD505-2E9C-101B-9397-08002B2CF9AE}" pid="5" name="MSIP_Label_5bdf07b2-0175-4a85-af11-305389ad5d4d_SetDate">
    <vt:lpwstr>2024-09-03T15:48:03Z</vt:lpwstr>
  </property>
  <property fmtid="{D5CDD505-2E9C-101B-9397-08002B2CF9AE}" pid="6" name="MSIP_Label_5bdf07b2-0175-4a85-af11-305389ad5d4d_Method">
    <vt:lpwstr>Standard</vt:lpwstr>
  </property>
  <property fmtid="{D5CDD505-2E9C-101B-9397-08002B2CF9AE}" pid="7" name="MSIP_Label_5bdf07b2-0175-4a85-af11-305389ad5d4d_Name">
    <vt:lpwstr>Interno</vt:lpwstr>
  </property>
  <property fmtid="{D5CDD505-2E9C-101B-9397-08002B2CF9AE}" pid="8" name="MSIP_Label_5bdf07b2-0175-4a85-af11-305389ad5d4d_SiteId">
    <vt:lpwstr>46bb22b8-4c2c-40ff-8360-7b6334821279</vt:lpwstr>
  </property>
  <property fmtid="{D5CDD505-2E9C-101B-9397-08002B2CF9AE}" pid="9" name="MSIP_Label_5bdf07b2-0175-4a85-af11-305389ad5d4d_ActionId">
    <vt:lpwstr>6b0228ef-bb6c-4ffe-b72a-b6e18407ee2d</vt:lpwstr>
  </property>
  <property fmtid="{D5CDD505-2E9C-101B-9397-08002B2CF9AE}" pid="10" name="MSIP_Label_5bdf07b2-0175-4a85-af11-305389ad5d4d_ContentBits">
    <vt:lpwstr>2</vt:lpwstr>
  </property>
  <property fmtid="{D5CDD505-2E9C-101B-9397-08002B2CF9AE}" pid="11" name="MSIP_Label_349e4846-88cf-4894-bf06-ac98d70f27be_Enabled">
    <vt:lpwstr>true</vt:lpwstr>
  </property>
  <property fmtid="{D5CDD505-2E9C-101B-9397-08002B2CF9AE}" pid="12" name="MSIP_Label_349e4846-88cf-4894-bf06-ac98d70f27be_SetDate">
    <vt:lpwstr>2024-09-19T19:44:47Z</vt:lpwstr>
  </property>
  <property fmtid="{D5CDD505-2E9C-101B-9397-08002B2CF9AE}" pid="13" name="MSIP_Label_349e4846-88cf-4894-bf06-ac98d70f27be_Method">
    <vt:lpwstr>Privileged</vt:lpwstr>
  </property>
  <property fmtid="{D5CDD505-2E9C-101B-9397-08002B2CF9AE}" pid="14" name="MSIP_Label_349e4846-88cf-4894-bf06-ac98d70f27be_Name">
    <vt:lpwstr>Pública</vt:lpwstr>
  </property>
  <property fmtid="{D5CDD505-2E9C-101B-9397-08002B2CF9AE}" pid="15" name="MSIP_Label_349e4846-88cf-4894-bf06-ac98d70f27be_SiteId">
    <vt:lpwstr>5fd5460a-b425-49de-9bd0-fcd26270d30c</vt:lpwstr>
  </property>
  <property fmtid="{D5CDD505-2E9C-101B-9397-08002B2CF9AE}" pid="16" name="MSIP_Label_349e4846-88cf-4894-bf06-ac98d70f27be_ActionId">
    <vt:lpwstr>57003584-1f8c-45d7-8fe9-34c37471532b</vt:lpwstr>
  </property>
  <property fmtid="{D5CDD505-2E9C-101B-9397-08002B2CF9AE}" pid="17" name="MSIP_Label_349e4846-88cf-4894-bf06-ac98d70f27be_ContentBits">
    <vt:lpwstr>0</vt:lpwstr>
  </property>
</Properties>
</file>